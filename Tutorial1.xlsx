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fan/Library/CloudStorage/Dropbox/2026_Teaching/2026-S2-IntroMacro/Tute1/"/>
    </mc:Choice>
  </mc:AlternateContent>
  <xr:revisionPtr revIDLastSave="0" documentId="13_ncr:1_{0ECFD5D8-8CD7-0F40-85ED-532B8A46DC4B}" xr6:coauthVersionLast="47" xr6:coauthVersionMax="47" xr10:uidLastSave="{00000000-0000-0000-0000-000000000000}"/>
  <bookViews>
    <workbookView xWindow="0" yWindow="660" windowWidth="34560" windowHeight="21680" xr2:uid="{FD4BCCBC-BD03-7F4F-826A-40F023E76262}"/>
  </bookViews>
  <sheets>
    <sheet name="Tut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D21" i="1"/>
  <c r="D24" i="1"/>
  <c r="D23" i="1"/>
  <c r="C23" i="1"/>
  <c r="C21" i="1"/>
  <c r="E19" i="1"/>
  <c r="F19" i="1"/>
  <c r="G19" i="1"/>
  <c r="D19" i="1"/>
  <c r="F18" i="1"/>
  <c r="E18" i="1"/>
  <c r="D18" i="1"/>
  <c r="G18" i="1"/>
  <c r="C18" i="1"/>
  <c r="E16" i="1"/>
  <c r="F16" i="1"/>
  <c r="G16" i="1"/>
  <c r="D16" i="1"/>
  <c r="F15" i="1"/>
  <c r="E15" i="1"/>
  <c r="G15" i="1"/>
  <c r="D15" i="1"/>
  <c r="C15" i="1"/>
  <c r="D13" i="1"/>
  <c r="D12" i="1"/>
  <c r="C12" i="1"/>
  <c r="E13" i="1"/>
  <c r="F13" i="1"/>
  <c r="G13" i="1"/>
  <c r="E12" i="1"/>
  <c r="F12" i="1"/>
  <c r="G12" i="1"/>
  <c r="E23" i="1" l="1"/>
  <c r="E24" i="1" s="1"/>
  <c r="F21" i="1"/>
  <c r="F23" i="1" s="1"/>
  <c r="F24" i="1" s="1"/>
  <c r="E26" i="1"/>
  <c r="G21" i="1"/>
  <c r="F26" i="1"/>
  <c r="C26" i="1"/>
  <c r="C28" i="1" s="1"/>
  <c r="D26" i="1"/>
  <c r="E28" i="1" l="1"/>
  <c r="E29" i="1" s="1"/>
  <c r="E27" i="1"/>
  <c r="G26" i="1"/>
  <c r="G23" i="1"/>
  <c r="G24" i="1" s="1"/>
  <c r="F28" i="1"/>
  <c r="F27" i="1"/>
  <c r="D27" i="1"/>
  <c r="D28" i="1"/>
  <c r="D29" i="1" s="1"/>
  <c r="G27" i="1" l="1"/>
  <c r="G28" i="1"/>
  <c r="G29" i="1" s="1"/>
  <c r="F29" i="1"/>
</calcChain>
</file>

<file path=xl/sharedStrings.xml><?xml version="1.0" encoding="utf-8"?>
<sst xmlns="http://schemas.openxmlformats.org/spreadsheetml/2006/main" count="16" uniqueCount="13">
  <si>
    <t>Year</t>
  </si>
  <si>
    <t>Price</t>
  </si>
  <si>
    <t>Good A</t>
  </si>
  <si>
    <t>Good B</t>
  </si>
  <si>
    <t>Quantity</t>
  </si>
  <si>
    <t>Consider a simplified economy in which only two goods are produced. The table below provides the yearly prices and quantities produced over a five-year time period:</t>
  </si>
  <si>
    <t>Nominal</t>
  </si>
  <si>
    <t>Real Fix y1</t>
  </si>
  <si>
    <t>Real Fix y4</t>
  </si>
  <si>
    <t>Chiain weighted index</t>
  </si>
  <si>
    <t>=P0*Q1/(P0*Q0)) * Index_0</t>
  </si>
  <si>
    <t>ref year 1</t>
  </si>
  <si>
    <t>ref year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</si>
</sst>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Helvetica"/>
      <family val="2"/>
    </font>
    <font>
      <sz val="12"/>
      <color rgb="FF00007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0" applyFont="1" applyAlignment="1">
      <alignment vertical="top"/>
    </xf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0" fontId="3" fillId="2" borderId="0" xfId="0" applyFont="1" applyFill="1" applyAlignment="1">
      <alignment vertical="top"/>
    </xf>
    <xf numFmtId="0" fontId="0" fillId="0" borderId="0" xfId="0" quotePrefix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" fontId="2" fillId="0" borderId="0" xfId="0" applyNumberFormat="1" applyFont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Per cent" xfId="1" builtinId="5"/>
  </cellStyles>
  <dxfs count="10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2BB011-1A8D-3540-B48D-12C81FDC26E8}" name="Table4" displayName="Table4" ref="A4:G10" headerRowCount="0" headerRowDxfId="9" dataDxfId="8" totalsRowDxfId="7">
  <tableColumns count="7">
    <tableColumn id="1" xr3:uid="{3E03A6CA-3691-CC4B-A88D-56DFF512BD2C}" name="Column1" totalsRowLabel="Total" dataDxfId="6"/>
    <tableColumn id="2" xr3:uid="{0CFC0264-C466-5448-83F7-E73BD6262A28}" name="Column2" dataDxfId="5"/>
    <tableColumn id="3" xr3:uid="{ADB6C603-8026-864C-B655-2EBEE3633A26}" name="Column3" dataDxfId="4"/>
    <tableColumn id="4" xr3:uid="{45A772DE-C6A0-6F4F-BB3C-530CA5A7DA52}" name="Column4" dataDxfId="3"/>
    <tableColumn id="5" xr3:uid="{80CB12DF-FC85-7542-97E3-21389243A080}" name="Column5" dataDxfId="2"/>
    <tableColumn id="6" xr3:uid="{0F54181D-3BA9-F642-B362-C83FE588ECF8}" name="Column6" dataDxfId="1"/>
    <tableColumn id="7" xr3:uid="{56AD28DD-5097-E942-852F-AF36FFEE0A69}" name="Column7" totalsRowFunction="sum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EE3B-3A59-9142-8C8C-D76BBEFE6D17}">
  <dimension ref="A1:G29"/>
  <sheetViews>
    <sheetView tabSelected="1" zoomScale="158" workbookViewId="0">
      <selection activeCell="G22" sqref="G22"/>
    </sheetView>
  </sheetViews>
  <sheetFormatPr baseColWidth="10" defaultRowHeight="16" x14ac:dyDescent="0.2"/>
  <sheetData>
    <row r="1" spans="1:7" ht="16" customHeight="1" x14ac:dyDescent="0.2">
      <c r="A1" s="12" t="s">
        <v>5</v>
      </c>
      <c r="B1" s="12"/>
      <c r="C1" s="12"/>
      <c r="D1" s="12"/>
      <c r="E1" s="12"/>
      <c r="F1" s="12"/>
      <c r="G1" s="12"/>
    </row>
    <row r="2" spans="1:7" x14ac:dyDescent="0.2">
      <c r="A2" s="12"/>
      <c r="B2" s="12"/>
      <c r="C2" s="12"/>
      <c r="D2" s="12"/>
      <c r="E2" s="12"/>
      <c r="F2" s="12"/>
      <c r="G2" s="12"/>
    </row>
    <row r="3" spans="1:7" x14ac:dyDescent="0.2">
      <c r="A3" s="12"/>
      <c r="B3" s="12"/>
      <c r="C3" s="12"/>
      <c r="D3" s="12"/>
      <c r="E3" s="12"/>
      <c r="F3" s="12"/>
      <c r="G3" s="12"/>
    </row>
    <row r="4" spans="1:7" x14ac:dyDescent="0.2">
      <c r="C4" t="s">
        <v>0</v>
      </c>
    </row>
    <row r="5" spans="1:7" x14ac:dyDescent="0.2">
      <c r="C5">
        <v>1</v>
      </c>
      <c r="D5">
        <v>2</v>
      </c>
      <c r="E5">
        <v>3</v>
      </c>
      <c r="F5">
        <v>4</v>
      </c>
      <c r="G5">
        <v>5</v>
      </c>
    </row>
    <row r="6" spans="1:7" x14ac:dyDescent="0.2">
      <c r="A6" t="s">
        <v>1</v>
      </c>
      <c r="B6" t="s">
        <v>2</v>
      </c>
      <c r="C6">
        <v>20</v>
      </c>
      <c r="D6">
        <v>21</v>
      </c>
      <c r="E6">
        <v>22</v>
      </c>
      <c r="F6">
        <v>23</v>
      </c>
      <c r="G6">
        <v>24</v>
      </c>
    </row>
    <row r="7" spans="1:7" x14ac:dyDescent="0.2">
      <c r="B7" t="s">
        <v>3</v>
      </c>
      <c r="C7">
        <v>60</v>
      </c>
      <c r="D7">
        <v>59</v>
      </c>
      <c r="E7">
        <v>58</v>
      </c>
      <c r="F7">
        <v>57</v>
      </c>
      <c r="G7">
        <v>56</v>
      </c>
    </row>
    <row r="9" spans="1:7" x14ac:dyDescent="0.2">
      <c r="A9" t="s">
        <v>4</v>
      </c>
      <c r="B9" t="s">
        <v>2</v>
      </c>
      <c r="C9">
        <v>75</v>
      </c>
      <c r="D9">
        <v>76</v>
      </c>
      <c r="E9">
        <v>77</v>
      </c>
      <c r="F9">
        <v>78</v>
      </c>
      <c r="G9">
        <v>79</v>
      </c>
    </row>
    <row r="10" spans="1:7" x14ac:dyDescent="0.2">
      <c r="B10" t="s">
        <v>3</v>
      </c>
      <c r="C10">
        <v>25</v>
      </c>
      <c r="D10">
        <v>30</v>
      </c>
      <c r="E10">
        <v>35</v>
      </c>
      <c r="F10">
        <v>40</v>
      </c>
      <c r="G10">
        <v>45</v>
      </c>
    </row>
    <row r="12" spans="1:7" x14ac:dyDescent="0.2">
      <c r="A12" s="1" t="s">
        <v>6</v>
      </c>
      <c r="C12" s="8">
        <f>C6*C9+C7*C10</f>
        <v>3000</v>
      </c>
      <c r="D12">
        <f>D6*D9+D7*D10</f>
        <v>3366</v>
      </c>
      <c r="E12">
        <f t="shared" ref="E12:G12" si="0">E6*E9+E7*E10</f>
        <v>3724</v>
      </c>
      <c r="F12" s="8">
        <f t="shared" si="0"/>
        <v>4074</v>
      </c>
      <c r="G12">
        <f t="shared" si="0"/>
        <v>4416</v>
      </c>
    </row>
    <row r="13" spans="1:7" x14ac:dyDescent="0.2">
      <c r="A13" s="2"/>
      <c r="D13" s="3">
        <f>(D12-C12)/C12</f>
        <v>0.122</v>
      </c>
      <c r="E13" s="3">
        <f t="shared" ref="E13:G13" si="1">(E12-D12)/D12</f>
        <v>0.10635769459298872</v>
      </c>
      <c r="F13" s="3">
        <f t="shared" si="1"/>
        <v>9.3984962406015032E-2</v>
      </c>
      <c r="G13" s="3">
        <f t="shared" si="1"/>
        <v>8.3946980854197342E-2</v>
      </c>
    </row>
    <row r="14" spans="1:7" x14ac:dyDescent="0.2">
      <c r="A14" s="2"/>
    </row>
    <row r="15" spans="1:7" x14ac:dyDescent="0.2">
      <c r="A15" s="1" t="s">
        <v>7</v>
      </c>
      <c r="C15">
        <f>C12</f>
        <v>3000</v>
      </c>
      <c r="D15">
        <f>D9*$C$6+D10*$C$7</f>
        <v>3320</v>
      </c>
      <c r="E15">
        <f t="shared" ref="E15:G15" si="2">E9*$C$6+E10*$C$7</f>
        <v>3640</v>
      </c>
      <c r="F15">
        <f>F9*$C$6+F10*$C$7</f>
        <v>3960</v>
      </c>
      <c r="G15">
        <f t="shared" si="2"/>
        <v>4280</v>
      </c>
    </row>
    <row r="16" spans="1:7" s="4" customFormat="1" x14ac:dyDescent="0.2">
      <c r="A16" s="6"/>
      <c r="D16" s="5">
        <f>(D15-C15)/C15</f>
        <v>0.10666666666666667</v>
      </c>
      <c r="E16" s="5">
        <f t="shared" ref="E16:G16" si="3">(E15-D15)/D15</f>
        <v>9.6385542168674704E-2</v>
      </c>
      <c r="F16" s="5">
        <f t="shared" si="3"/>
        <v>8.7912087912087919E-2</v>
      </c>
      <c r="G16" s="5">
        <f t="shared" si="3"/>
        <v>8.0808080808080815E-2</v>
      </c>
    </row>
    <row r="18" spans="1:7" x14ac:dyDescent="0.2">
      <c r="A18" s="1" t="s">
        <v>8</v>
      </c>
      <c r="C18">
        <f>$F$6*C9+$F$7*C10</f>
        <v>3150</v>
      </c>
      <c r="D18">
        <f t="shared" ref="D18:G18" si="4">$F$6*D9+$F$7*D10</f>
        <v>3458</v>
      </c>
      <c r="E18">
        <f>$F$6*E9+$F$7*E10</f>
        <v>3766</v>
      </c>
      <c r="F18">
        <f>$F$6*F9+$F$7*F10</f>
        <v>4074</v>
      </c>
      <c r="G18">
        <f t="shared" si="4"/>
        <v>4382</v>
      </c>
    </row>
    <row r="19" spans="1:7" s="4" customFormat="1" x14ac:dyDescent="0.2">
      <c r="D19" s="5">
        <f>(D18-C18)/C18</f>
        <v>9.7777777777777783E-2</v>
      </c>
      <c r="E19" s="5">
        <f t="shared" ref="E19:G19" si="5">(E18-D18)/D18</f>
        <v>8.9068825910931168E-2</v>
      </c>
      <c r="F19" s="5">
        <f t="shared" si="5"/>
        <v>8.1784386617100371E-2</v>
      </c>
      <c r="G19" s="5">
        <f t="shared" si="5"/>
        <v>7.560137457044673E-2</v>
      </c>
    </row>
    <row r="20" spans="1:7" x14ac:dyDescent="0.2">
      <c r="E20">
        <v>1.21</v>
      </c>
    </row>
    <row r="21" spans="1:7" x14ac:dyDescent="0.2">
      <c r="A21" s="8" t="s">
        <v>9</v>
      </c>
      <c r="C21" s="9">
        <f>1</f>
        <v>1</v>
      </c>
      <c r="D21" s="9">
        <f>C21*(D9*C6+D10*C7)/(C9*C6+C10*C7)</f>
        <v>1.1066666666666667</v>
      </c>
      <c r="E21" s="9">
        <f>(E9*D6+E10*D7)/(D9*D6+D10*D7)*D21</f>
        <v>1.2105605070310954</v>
      </c>
      <c r="F21" s="9">
        <f>(F9*E6+F10*E7)/(E9*E6+E7*E10)*E21</f>
        <v>1.3119823325396083</v>
      </c>
      <c r="G21" s="9">
        <f>(G9*F6+G10*F7)/(F9*F6+F7*F10)*F21</f>
        <v>1.4111700002917436</v>
      </c>
    </row>
    <row r="22" spans="1:7" x14ac:dyDescent="0.2">
      <c r="A22" s="8" t="s">
        <v>11</v>
      </c>
      <c r="D22" s="7" t="s">
        <v>10</v>
      </c>
    </row>
    <row r="23" spans="1:7" x14ac:dyDescent="0.2">
      <c r="C23" s="11">
        <f>C21*C12</f>
        <v>3000</v>
      </c>
      <c r="D23" s="10">
        <f>D21*C12</f>
        <v>3320</v>
      </c>
      <c r="E23" s="10">
        <f>E21*C12</f>
        <v>3631.6815210932864</v>
      </c>
      <c r="F23" s="10">
        <f>F21*C12</f>
        <v>3935.9469976188248</v>
      </c>
      <c r="G23" s="10">
        <f>G21*C12</f>
        <v>4233.5100008752306</v>
      </c>
    </row>
    <row r="24" spans="1:7" x14ac:dyDescent="0.2">
      <c r="D24" s="5">
        <f>(D23-C23)/C23</f>
        <v>0.10666666666666667</v>
      </c>
      <c r="E24" s="5">
        <f t="shared" ref="E24:G24" si="6">(E23-D23)/D23</f>
        <v>9.3879976232917592E-2</v>
      </c>
      <c r="F24" s="5">
        <f t="shared" si="6"/>
        <v>8.3780880773361946E-2</v>
      </c>
      <c r="G24" s="5">
        <f t="shared" si="6"/>
        <v>7.5601374570446703E-2</v>
      </c>
    </row>
    <row r="26" spans="1:7" x14ac:dyDescent="0.2">
      <c r="A26" s="8" t="s">
        <v>9</v>
      </c>
      <c r="C26">
        <f>C21/F21</f>
        <v>0.76220538584867747</v>
      </c>
      <c r="D26">
        <f>D21/F21</f>
        <v>0.84350729367253641</v>
      </c>
      <c r="E26">
        <f>E21/F21</f>
        <v>0.92269573835480667</v>
      </c>
      <c r="F26">
        <f>F21/F21</f>
        <v>1</v>
      </c>
      <c r="G26">
        <f>G21/F21</f>
        <v>1.0756013745704467</v>
      </c>
    </row>
    <row r="27" spans="1:7" x14ac:dyDescent="0.2">
      <c r="A27" s="8" t="s">
        <v>12</v>
      </c>
      <c r="D27" s="5">
        <f>(D26-C26)/C26</f>
        <v>0.10666666666666667</v>
      </c>
      <c r="E27" s="5">
        <f t="shared" ref="E27:G27" si="7">(E26-D26)/D26</f>
        <v>9.3879976232917481E-2</v>
      </c>
      <c r="F27" s="5">
        <f t="shared" si="7"/>
        <v>8.3780880773362057E-2</v>
      </c>
      <c r="G27" s="5">
        <f t="shared" si="7"/>
        <v>7.5601374570446689E-2</v>
      </c>
    </row>
    <row r="28" spans="1:7" x14ac:dyDescent="0.2">
      <c r="C28">
        <f t="shared" ref="C28:E28" si="8">C26*$F$12</f>
        <v>3105.224741947512</v>
      </c>
      <c r="D28">
        <f t="shared" si="8"/>
        <v>3436.4487144219133</v>
      </c>
      <c r="E28">
        <f t="shared" si="8"/>
        <v>3759.0624380574823</v>
      </c>
      <c r="F28" s="8">
        <f>F26*$F$12</f>
        <v>4074</v>
      </c>
      <c r="G28">
        <f>G26*$F$12</f>
        <v>4382</v>
      </c>
    </row>
    <row r="29" spans="1:7" x14ac:dyDescent="0.2">
      <c r="D29" s="5">
        <f>(D28-C28)/C28</f>
        <v>0.10666666666666667</v>
      </c>
      <c r="E29" s="5">
        <f t="shared" ref="E29:G29" si="9">(E28-D28)/D28</f>
        <v>9.3879976232917439E-2</v>
      </c>
      <c r="F29" s="5">
        <f t="shared" si="9"/>
        <v>8.3780880773362085E-2</v>
      </c>
      <c r="G29" s="5">
        <f t="shared" si="9"/>
        <v>7.560137457044673E-2</v>
      </c>
    </row>
  </sheetData>
  <mergeCells count="1">
    <mergeCell ref="A1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Fan</dc:creator>
  <cp:lastModifiedBy>Zheng Fan</cp:lastModifiedBy>
  <dcterms:created xsi:type="dcterms:W3CDTF">2026-08-05T09:58:30Z</dcterms:created>
  <dcterms:modified xsi:type="dcterms:W3CDTF">2026-08-07T04:02:20Z</dcterms:modified>
</cp:coreProperties>
</file>