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engfan/Library/CloudStorage/Dropbox/2026_Teaching/2026-S2-IntroMacro/Tute1/"/>
    </mc:Choice>
  </mc:AlternateContent>
  <xr:revisionPtr revIDLastSave="0" documentId="13_ncr:1_{D731D522-B5EC-074E-9012-5048105A4ABB}" xr6:coauthVersionLast="47" xr6:coauthVersionMax="47" xr10:uidLastSave="{00000000-0000-0000-0000-000000000000}"/>
  <bookViews>
    <workbookView xWindow="0" yWindow="660" windowWidth="34560" windowHeight="21680" activeTab="1" xr2:uid="{FD4BCCBC-BD03-7F4F-826A-40F023E76262}"/>
  </bookViews>
  <sheets>
    <sheet name="Tute1 Q1" sheetId="1" r:id="rId1"/>
    <sheet name="Q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" i="2" l="1"/>
  <c r="H4" i="2" s="1"/>
  <c r="G5" i="2"/>
  <c r="G6" i="2"/>
  <c r="G7" i="2"/>
  <c r="D5" i="2"/>
  <c r="D4" i="2"/>
  <c r="D268" i="2"/>
  <c r="E268" i="2" s="1"/>
  <c r="D267" i="2"/>
  <c r="E267" i="2" s="1"/>
  <c r="D266" i="2"/>
  <c r="E266" i="2" s="1"/>
  <c r="D265" i="2"/>
  <c r="E265" i="2" s="1"/>
  <c r="D264" i="2"/>
  <c r="E264" i="2" s="1"/>
  <c r="D263" i="2"/>
  <c r="E263" i="2" s="1"/>
  <c r="D262" i="2"/>
  <c r="E262" i="2" s="1"/>
  <c r="D261" i="2"/>
  <c r="E261" i="2" s="1"/>
  <c r="D260" i="2"/>
  <c r="E260" i="2" s="1"/>
  <c r="D259" i="2"/>
  <c r="E259" i="2" s="1"/>
  <c r="D258" i="2"/>
  <c r="E258" i="2" s="1"/>
  <c r="D257" i="2"/>
  <c r="E257" i="2" s="1"/>
  <c r="D256" i="2"/>
  <c r="E256" i="2" s="1"/>
  <c r="D255" i="2"/>
  <c r="E255" i="2" s="1"/>
  <c r="D254" i="2"/>
  <c r="E254" i="2" s="1"/>
  <c r="D253" i="2"/>
  <c r="E253" i="2" s="1"/>
  <c r="D252" i="2"/>
  <c r="E252" i="2" s="1"/>
  <c r="D251" i="2"/>
  <c r="E251" i="2" s="1"/>
  <c r="D250" i="2"/>
  <c r="E250" i="2" s="1"/>
  <c r="D249" i="2"/>
  <c r="E249" i="2" s="1"/>
  <c r="D248" i="2"/>
  <c r="E248" i="2" s="1"/>
  <c r="D247" i="2"/>
  <c r="E247" i="2" s="1"/>
  <c r="D246" i="2"/>
  <c r="E246" i="2" s="1"/>
  <c r="D245" i="2"/>
  <c r="E245" i="2" s="1"/>
  <c r="D244" i="2"/>
  <c r="E244" i="2" s="1"/>
  <c r="D243" i="2"/>
  <c r="E243" i="2" s="1"/>
  <c r="D242" i="2"/>
  <c r="E242" i="2" s="1"/>
  <c r="D241" i="2"/>
  <c r="E241" i="2" s="1"/>
  <c r="D240" i="2"/>
  <c r="E240" i="2" s="1"/>
  <c r="D239" i="2"/>
  <c r="E239" i="2" s="1"/>
  <c r="D238" i="2"/>
  <c r="E238" i="2" s="1"/>
  <c r="D237" i="2"/>
  <c r="E237" i="2" s="1"/>
  <c r="D236" i="2"/>
  <c r="E236" i="2" s="1"/>
  <c r="D235" i="2"/>
  <c r="E235" i="2" s="1"/>
  <c r="D234" i="2"/>
  <c r="E234" i="2" s="1"/>
  <c r="D233" i="2"/>
  <c r="E233" i="2" s="1"/>
  <c r="D232" i="2"/>
  <c r="E232" i="2" s="1"/>
  <c r="D231" i="2"/>
  <c r="E231" i="2" s="1"/>
  <c r="D230" i="2"/>
  <c r="E230" i="2" s="1"/>
  <c r="D229" i="2"/>
  <c r="E229" i="2" s="1"/>
  <c r="D228" i="2"/>
  <c r="E228" i="2" s="1"/>
  <c r="D227" i="2"/>
  <c r="E227" i="2" s="1"/>
  <c r="D226" i="2"/>
  <c r="E226" i="2" s="1"/>
  <c r="D225" i="2"/>
  <c r="E225" i="2" s="1"/>
  <c r="D224" i="2"/>
  <c r="E224" i="2" s="1"/>
  <c r="D223" i="2"/>
  <c r="E223" i="2" s="1"/>
  <c r="D222" i="2"/>
  <c r="E222" i="2" s="1"/>
  <c r="D221" i="2"/>
  <c r="E221" i="2" s="1"/>
  <c r="D220" i="2"/>
  <c r="E220" i="2" s="1"/>
  <c r="D219" i="2"/>
  <c r="E219" i="2" s="1"/>
  <c r="D218" i="2"/>
  <c r="E218" i="2" s="1"/>
  <c r="D217" i="2"/>
  <c r="E217" i="2" s="1"/>
  <c r="D216" i="2"/>
  <c r="E216" i="2" s="1"/>
  <c r="D215" i="2"/>
  <c r="E215" i="2" s="1"/>
  <c r="D214" i="2"/>
  <c r="E214" i="2" s="1"/>
  <c r="D213" i="2"/>
  <c r="E213" i="2" s="1"/>
  <c r="D212" i="2"/>
  <c r="E212" i="2" s="1"/>
  <c r="D211" i="2"/>
  <c r="E211" i="2" s="1"/>
  <c r="E210" i="2"/>
  <c r="D210" i="2"/>
  <c r="D209" i="2"/>
  <c r="E209" i="2" s="1"/>
  <c r="D208" i="2"/>
  <c r="E208" i="2" s="1"/>
  <c r="D207" i="2"/>
  <c r="E207" i="2" s="1"/>
  <c r="D206" i="2"/>
  <c r="E206" i="2" s="1"/>
  <c r="D205" i="2"/>
  <c r="E205" i="2" s="1"/>
  <c r="D204" i="2"/>
  <c r="E204" i="2" s="1"/>
  <c r="D203" i="2"/>
  <c r="E203" i="2" s="1"/>
  <c r="D202" i="2"/>
  <c r="E202" i="2" s="1"/>
  <c r="D201" i="2"/>
  <c r="E201" i="2" s="1"/>
  <c r="D200" i="2"/>
  <c r="E200" i="2" s="1"/>
  <c r="D199" i="2"/>
  <c r="E199" i="2" s="1"/>
  <c r="D198" i="2"/>
  <c r="E198" i="2" s="1"/>
  <c r="D197" i="2"/>
  <c r="E197" i="2" s="1"/>
  <c r="D196" i="2"/>
  <c r="E196" i="2" s="1"/>
  <c r="D195" i="2"/>
  <c r="E195" i="2" s="1"/>
  <c r="D194" i="2"/>
  <c r="E194" i="2" s="1"/>
  <c r="D193" i="2"/>
  <c r="E193" i="2" s="1"/>
  <c r="D192" i="2"/>
  <c r="E192" i="2" s="1"/>
  <c r="D191" i="2"/>
  <c r="E191" i="2" s="1"/>
  <c r="D190" i="2"/>
  <c r="E190" i="2" s="1"/>
  <c r="D189" i="2"/>
  <c r="E189" i="2" s="1"/>
  <c r="D188" i="2"/>
  <c r="E188" i="2" s="1"/>
  <c r="D187" i="2"/>
  <c r="E187" i="2" s="1"/>
  <c r="D186" i="2"/>
  <c r="E186" i="2" s="1"/>
  <c r="D185" i="2"/>
  <c r="E185" i="2" s="1"/>
  <c r="D184" i="2"/>
  <c r="E184" i="2" s="1"/>
  <c r="D183" i="2"/>
  <c r="E183" i="2" s="1"/>
  <c r="D182" i="2"/>
  <c r="E182" i="2" s="1"/>
  <c r="D181" i="2"/>
  <c r="E181" i="2" s="1"/>
  <c r="D180" i="2"/>
  <c r="E180" i="2" s="1"/>
  <c r="D179" i="2"/>
  <c r="E179" i="2" s="1"/>
  <c r="E178" i="2"/>
  <c r="D178" i="2"/>
  <c r="D177" i="2"/>
  <c r="E177" i="2" s="1"/>
  <c r="D176" i="2"/>
  <c r="E176" i="2" s="1"/>
  <c r="D175" i="2"/>
  <c r="E175" i="2" s="1"/>
  <c r="D174" i="2"/>
  <c r="E174" i="2" s="1"/>
  <c r="D173" i="2"/>
  <c r="E173" i="2" s="1"/>
  <c r="D172" i="2"/>
  <c r="E172" i="2" s="1"/>
  <c r="D171" i="2"/>
  <c r="E171" i="2" s="1"/>
  <c r="D170" i="2"/>
  <c r="E170" i="2" s="1"/>
  <c r="D169" i="2"/>
  <c r="E169" i="2" s="1"/>
  <c r="D168" i="2"/>
  <c r="E168" i="2" s="1"/>
  <c r="D167" i="2"/>
  <c r="E167" i="2" s="1"/>
  <c r="D166" i="2"/>
  <c r="E166" i="2" s="1"/>
  <c r="D165" i="2"/>
  <c r="E165" i="2" s="1"/>
  <c r="D164" i="2"/>
  <c r="E164" i="2" s="1"/>
  <c r="D163" i="2"/>
  <c r="E163" i="2" s="1"/>
  <c r="D162" i="2"/>
  <c r="E162" i="2" s="1"/>
  <c r="D161" i="2"/>
  <c r="E161" i="2" s="1"/>
  <c r="D160" i="2"/>
  <c r="E160" i="2" s="1"/>
  <c r="D159" i="2"/>
  <c r="E159" i="2" s="1"/>
  <c r="D158" i="2"/>
  <c r="E158" i="2" s="1"/>
  <c r="D157" i="2"/>
  <c r="E157" i="2" s="1"/>
  <c r="D156" i="2"/>
  <c r="E156" i="2" s="1"/>
  <c r="D155" i="2"/>
  <c r="E155" i="2" s="1"/>
  <c r="D154" i="2"/>
  <c r="E154" i="2" s="1"/>
  <c r="D153" i="2"/>
  <c r="E153" i="2" s="1"/>
  <c r="D152" i="2"/>
  <c r="E152" i="2" s="1"/>
  <c r="D151" i="2"/>
  <c r="E151" i="2" s="1"/>
  <c r="D150" i="2"/>
  <c r="E150" i="2" s="1"/>
  <c r="D149" i="2"/>
  <c r="E149" i="2" s="1"/>
  <c r="D148" i="2"/>
  <c r="E148" i="2" s="1"/>
  <c r="D147" i="2"/>
  <c r="E147" i="2" s="1"/>
  <c r="D146" i="2"/>
  <c r="E146" i="2" s="1"/>
  <c r="D145" i="2"/>
  <c r="E145" i="2" s="1"/>
  <c r="D144" i="2"/>
  <c r="E144" i="2" s="1"/>
  <c r="D143" i="2"/>
  <c r="E143" i="2" s="1"/>
  <c r="D142" i="2"/>
  <c r="E142" i="2" s="1"/>
  <c r="E141" i="2"/>
  <c r="D141" i="2"/>
  <c r="D140" i="2"/>
  <c r="E140" i="2" s="1"/>
  <c r="D139" i="2"/>
  <c r="E139" i="2" s="1"/>
  <c r="E138" i="2"/>
  <c r="D138" i="2"/>
  <c r="D137" i="2"/>
  <c r="E137" i="2" s="1"/>
  <c r="D136" i="2"/>
  <c r="E136" i="2" s="1"/>
  <c r="D135" i="2"/>
  <c r="E135" i="2" s="1"/>
  <c r="D134" i="2"/>
  <c r="E134" i="2" s="1"/>
  <c r="D133" i="2"/>
  <c r="E133" i="2" s="1"/>
  <c r="D132" i="2"/>
  <c r="E132" i="2" s="1"/>
  <c r="E131" i="2"/>
  <c r="D131" i="2"/>
  <c r="D130" i="2"/>
  <c r="E130" i="2" s="1"/>
  <c r="D129" i="2"/>
  <c r="E129" i="2" s="1"/>
  <c r="D128" i="2"/>
  <c r="E128" i="2" s="1"/>
  <c r="D127" i="2"/>
  <c r="E127" i="2" s="1"/>
  <c r="E126" i="2"/>
  <c r="D126" i="2"/>
  <c r="D125" i="2"/>
  <c r="E125" i="2" s="1"/>
  <c r="D124" i="2"/>
  <c r="E124" i="2" s="1"/>
  <c r="D123" i="2"/>
  <c r="E123" i="2" s="1"/>
  <c r="D122" i="2"/>
  <c r="E122" i="2" s="1"/>
  <c r="D121" i="2"/>
  <c r="E121" i="2" s="1"/>
  <c r="D120" i="2"/>
  <c r="E120" i="2" s="1"/>
  <c r="D119" i="2"/>
  <c r="E119" i="2" s="1"/>
  <c r="D118" i="2"/>
  <c r="E118" i="2" s="1"/>
  <c r="E117" i="2"/>
  <c r="D117" i="2"/>
  <c r="D116" i="2"/>
  <c r="E116" i="2" s="1"/>
  <c r="D115" i="2"/>
  <c r="E115" i="2" s="1"/>
  <c r="D114" i="2"/>
  <c r="E114" i="2" s="1"/>
  <c r="D113" i="2"/>
  <c r="E113" i="2" s="1"/>
  <c r="D112" i="2"/>
  <c r="E112" i="2" s="1"/>
  <c r="D111" i="2"/>
  <c r="E111" i="2" s="1"/>
  <c r="D110" i="2"/>
  <c r="E110" i="2" s="1"/>
  <c r="D109" i="2"/>
  <c r="E109" i="2" s="1"/>
  <c r="E108" i="2"/>
  <c r="D108" i="2"/>
  <c r="D107" i="2"/>
  <c r="E107" i="2" s="1"/>
  <c r="D106" i="2"/>
  <c r="E106" i="2" s="1"/>
  <c r="D105" i="2"/>
  <c r="E105" i="2" s="1"/>
  <c r="D104" i="2"/>
  <c r="E104" i="2" s="1"/>
  <c r="D103" i="2"/>
  <c r="E103" i="2" s="1"/>
  <c r="D102" i="2"/>
  <c r="E102" i="2" s="1"/>
  <c r="D101" i="2"/>
  <c r="E101" i="2" s="1"/>
  <c r="D100" i="2"/>
  <c r="E100" i="2" s="1"/>
  <c r="D99" i="2"/>
  <c r="E99" i="2" s="1"/>
  <c r="D98" i="2"/>
  <c r="E98" i="2" s="1"/>
  <c r="D97" i="2"/>
  <c r="E97" i="2" s="1"/>
  <c r="D96" i="2"/>
  <c r="E96" i="2" s="1"/>
  <c r="D95" i="2"/>
  <c r="E95" i="2" s="1"/>
  <c r="E94" i="2"/>
  <c r="D94" i="2"/>
  <c r="D93" i="2"/>
  <c r="E93" i="2" s="1"/>
  <c r="D92" i="2"/>
  <c r="E92" i="2" s="1"/>
  <c r="D91" i="2"/>
  <c r="E91" i="2" s="1"/>
  <c r="D90" i="2"/>
  <c r="E90" i="2" s="1"/>
  <c r="D89" i="2"/>
  <c r="E89" i="2" s="1"/>
  <c r="D88" i="2"/>
  <c r="E88" i="2" s="1"/>
  <c r="E87" i="2"/>
  <c r="D87" i="2"/>
  <c r="D86" i="2"/>
  <c r="E86" i="2" s="1"/>
  <c r="D85" i="2"/>
  <c r="E85" i="2" s="1"/>
  <c r="D84" i="2"/>
  <c r="E84" i="2" s="1"/>
  <c r="D83" i="2"/>
  <c r="E83" i="2" s="1"/>
  <c r="D82" i="2"/>
  <c r="E82" i="2" s="1"/>
  <c r="D81" i="2"/>
  <c r="E81" i="2" s="1"/>
  <c r="D80" i="2"/>
  <c r="E80" i="2" s="1"/>
  <c r="D79" i="2"/>
  <c r="E79" i="2" s="1"/>
  <c r="D78" i="2"/>
  <c r="E78" i="2" s="1"/>
  <c r="D77" i="2"/>
  <c r="E77" i="2" s="1"/>
  <c r="D76" i="2"/>
  <c r="E76" i="2" s="1"/>
  <c r="D75" i="2"/>
  <c r="E75" i="2" s="1"/>
  <c r="E74" i="2"/>
  <c r="D74" i="2"/>
  <c r="D73" i="2"/>
  <c r="E73" i="2" s="1"/>
  <c r="D72" i="2"/>
  <c r="E72" i="2" s="1"/>
  <c r="D71" i="2"/>
  <c r="E71" i="2" s="1"/>
  <c r="D70" i="2"/>
  <c r="E70" i="2" s="1"/>
  <c r="D69" i="2"/>
  <c r="E69" i="2" s="1"/>
  <c r="D68" i="2"/>
  <c r="E68" i="2" s="1"/>
  <c r="D67" i="2"/>
  <c r="E67" i="2" s="1"/>
  <c r="D66" i="2"/>
  <c r="E66" i="2" s="1"/>
  <c r="D65" i="2"/>
  <c r="E65" i="2" s="1"/>
  <c r="D64" i="2"/>
  <c r="E64" i="2" s="1"/>
  <c r="D63" i="2"/>
  <c r="E63" i="2" s="1"/>
  <c r="D62" i="2"/>
  <c r="E62" i="2" s="1"/>
  <c r="D61" i="2"/>
  <c r="E61" i="2" s="1"/>
  <c r="D60" i="2"/>
  <c r="E60" i="2" s="1"/>
  <c r="D59" i="2"/>
  <c r="E59" i="2" s="1"/>
  <c r="D58" i="2"/>
  <c r="E58" i="2" s="1"/>
  <c r="D57" i="2"/>
  <c r="E57" i="2" s="1"/>
  <c r="D56" i="2"/>
  <c r="E56" i="2" s="1"/>
  <c r="D55" i="2"/>
  <c r="E55" i="2" s="1"/>
  <c r="D54" i="2"/>
  <c r="E54" i="2" s="1"/>
  <c r="D53" i="2"/>
  <c r="E53" i="2" s="1"/>
  <c r="D52" i="2"/>
  <c r="E52" i="2" s="1"/>
  <c r="D51" i="2"/>
  <c r="E51" i="2" s="1"/>
  <c r="D50" i="2"/>
  <c r="E50" i="2" s="1"/>
  <c r="D49" i="2"/>
  <c r="E49" i="2" s="1"/>
  <c r="D48" i="2"/>
  <c r="E48" i="2" s="1"/>
  <c r="D47" i="2"/>
  <c r="E47" i="2" s="1"/>
  <c r="D46" i="2"/>
  <c r="E46" i="2" s="1"/>
  <c r="D45" i="2"/>
  <c r="E45" i="2" s="1"/>
  <c r="D44" i="2"/>
  <c r="E44" i="2" s="1"/>
  <c r="D43" i="2"/>
  <c r="E43" i="2" s="1"/>
  <c r="D42" i="2"/>
  <c r="E42" i="2" s="1"/>
  <c r="D41" i="2"/>
  <c r="E41" i="2" s="1"/>
  <c r="D40" i="2"/>
  <c r="E40" i="2" s="1"/>
  <c r="D39" i="2"/>
  <c r="E39" i="2" s="1"/>
  <c r="D38" i="2"/>
  <c r="E38" i="2" s="1"/>
  <c r="D37" i="2"/>
  <c r="E37" i="2" s="1"/>
  <c r="D36" i="2"/>
  <c r="E36" i="2" s="1"/>
  <c r="D35" i="2"/>
  <c r="E35" i="2" s="1"/>
  <c r="D34" i="2"/>
  <c r="E34" i="2" s="1"/>
  <c r="D33" i="2"/>
  <c r="E33" i="2" s="1"/>
  <c r="D32" i="2"/>
  <c r="E32" i="2" s="1"/>
  <c r="E31" i="2"/>
  <c r="D31" i="2"/>
  <c r="D30" i="2"/>
  <c r="E30" i="2" s="1"/>
  <c r="E29" i="2"/>
  <c r="D29" i="2"/>
  <c r="D28" i="2"/>
  <c r="E28" i="2" s="1"/>
  <c r="D27" i="2"/>
  <c r="E27" i="2" s="1"/>
  <c r="D26" i="2"/>
  <c r="E26" i="2" s="1"/>
  <c r="D25" i="2"/>
  <c r="E25" i="2" s="1"/>
  <c r="D24" i="2"/>
  <c r="E24" i="2" s="1"/>
  <c r="D23" i="2"/>
  <c r="E23" i="2" s="1"/>
  <c r="E22" i="2"/>
  <c r="D22" i="2"/>
  <c r="D21" i="2"/>
  <c r="E21" i="2" s="1"/>
  <c r="D20" i="2"/>
  <c r="E20" i="2" s="1"/>
  <c r="E19" i="2"/>
  <c r="D19" i="2"/>
  <c r="D18" i="2"/>
  <c r="E18" i="2" s="1"/>
  <c r="D17" i="2"/>
  <c r="E17" i="2" s="1"/>
  <c r="D16" i="2"/>
  <c r="E16" i="2" s="1"/>
  <c r="D15" i="2"/>
  <c r="E15" i="2" s="1"/>
  <c r="D14" i="2"/>
  <c r="E14" i="2" s="1"/>
  <c r="D13" i="2"/>
  <c r="E13" i="2" s="1"/>
  <c r="D12" i="2"/>
  <c r="E12" i="2" s="1"/>
  <c r="D11" i="2"/>
  <c r="E11" i="2" s="1"/>
  <c r="D10" i="2"/>
  <c r="E10" i="2" s="1"/>
  <c r="D9" i="2"/>
  <c r="E9" i="2" s="1"/>
  <c r="D8" i="2"/>
  <c r="E8" i="2" s="1"/>
  <c r="D7" i="2"/>
  <c r="E7" i="2" s="1"/>
  <c r="D6" i="2"/>
  <c r="E6" i="2" s="1"/>
  <c r="E5" i="2"/>
  <c r="E4" i="2"/>
  <c r="D3" i="2"/>
  <c r="E3" i="2" s="1"/>
  <c r="D2" i="2"/>
  <c r="E2" i="2" s="1"/>
  <c r="E21" i="1"/>
  <c r="D21" i="1"/>
  <c r="D24" i="1"/>
  <c r="D23" i="1"/>
  <c r="C23" i="1"/>
  <c r="C21" i="1"/>
  <c r="E19" i="1"/>
  <c r="F19" i="1"/>
  <c r="G19" i="1"/>
  <c r="D19" i="1"/>
  <c r="F18" i="1"/>
  <c r="E18" i="1"/>
  <c r="D18" i="1"/>
  <c r="G18" i="1"/>
  <c r="C18" i="1"/>
  <c r="E16" i="1"/>
  <c r="F16" i="1"/>
  <c r="G16" i="1"/>
  <c r="D16" i="1"/>
  <c r="F15" i="1"/>
  <c r="E15" i="1"/>
  <c r="G15" i="1"/>
  <c r="D15" i="1"/>
  <c r="C15" i="1"/>
  <c r="D13" i="1"/>
  <c r="D12" i="1"/>
  <c r="C12" i="1"/>
  <c r="E13" i="1"/>
  <c r="F13" i="1"/>
  <c r="G13" i="1"/>
  <c r="E12" i="1"/>
  <c r="F12" i="1"/>
  <c r="G12" i="1"/>
  <c r="H7" i="2" l="1"/>
  <c r="I7" i="2"/>
  <c r="H6" i="2"/>
  <c r="I6" i="2"/>
  <c r="H5" i="2"/>
  <c r="I5" i="2"/>
  <c r="I4" i="2"/>
  <c r="E23" i="1"/>
  <c r="E24" i="1" s="1"/>
  <c r="F21" i="1"/>
  <c r="F23" i="1" s="1"/>
  <c r="F24" i="1" s="1"/>
  <c r="E26" i="1"/>
  <c r="G21" i="1"/>
  <c r="F26" i="1"/>
  <c r="C26" i="1"/>
  <c r="C28" i="1" s="1"/>
  <c r="D26" i="1"/>
  <c r="E28" i="1" l="1"/>
  <c r="E29" i="1" s="1"/>
  <c r="E27" i="1"/>
  <c r="G26" i="1"/>
  <c r="G23" i="1"/>
  <c r="G24" i="1" s="1"/>
  <c r="F28" i="1"/>
  <c r="F27" i="1"/>
  <c r="D27" i="1"/>
  <c r="D28" i="1"/>
  <c r="D29" i="1" s="1"/>
  <c r="G27" i="1" l="1"/>
  <c r="G28" i="1"/>
  <c r="G29" i="1" s="1"/>
  <c r="F29" i="1"/>
</calcChain>
</file>

<file path=xl/sharedStrings.xml><?xml version="1.0" encoding="utf-8"?>
<sst xmlns="http://schemas.openxmlformats.org/spreadsheetml/2006/main" count="27" uniqueCount="24">
  <si>
    <t>Year</t>
  </si>
  <si>
    <t>Price</t>
  </si>
  <si>
    <t>Good A</t>
  </si>
  <si>
    <t>Good B</t>
  </si>
  <si>
    <t>Quantity</t>
  </si>
  <si>
    <t>Consider a simplified economy in which only two goods are produced. The table below provides the yearly prices and quantities produced over a five-year time period:</t>
  </si>
  <si>
    <t>Nominal</t>
  </si>
  <si>
    <t>Real Fix y1</t>
  </si>
  <si>
    <t>Real Fix y4</t>
  </si>
  <si>
    <t>Chiain weighted index</t>
  </si>
  <si>
    <t>=P0*Q1/(P0*Q0)) * Index_0</t>
  </si>
  <si>
    <t>ref year 1</t>
  </si>
  <si>
    <t>ref year 4</t>
  </si>
  <si>
    <t>real index 1980</t>
  </si>
  <si>
    <t>Qgrowth</t>
  </si>
  <si>
    <t>Qgrowth-annualized</t>
  </si>
  <si>
    <t>YoYgrowth</t>
  </si>
  <si>
    <t>Real GDP (chain)</t>
  </si>
  <si>
    <t>Nominal GDP</t>
  </si>
  <si>
    <t>real gdp (ref 1980)</t>
  </si>
  <si>
    <t>2. c</t>
  </si>
  <si>
    <t>2. a</t>
  </si>
  <si>
    <t>2. b</t>
  </si>
  <si>
    <t>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</si>
</sst>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mmm\-yyyy"/>
    <numFmt numFmtId="166" formatCode="0;\-0;0;@"/>
    <numFmt numFmtId="167" formatCode="0.00000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0000"/>
      <name val="Helvetica"/>
      <family val="2"/>
    </font>
    <font>
      <sz val="12"/>
      <color rgb="FF000078"/>
      <name val="Helvetica"/>
      <family val="2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3" fillId="0" borderId="0" xfId="0" applyFont="1" applyAlignment="1">
      <alignment vertical="top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0" fontId="5" fillId="0" borderId="0" xfId="0" applyFont="1"/>
    <xf numFmtId="165" fontId="5" fillId="0" borderId="0" xfId="0" applyNumberFormat="1" applyFont="1" applyAlignment="1">
      <alignment horizontal="left"/>
    </xf>
    <xf numFmtId="166" fontId="5" fillId="0" borderId="0" xfId="0" applyNumberFormat="1" applyFont="1"/>
    <xf numFmtId="167" fontId="5" fillId="0" borderId="0" xfId="0" applyNumberFormat="1" applyFont="1"/>
    <xf numFmtId="0" fontId="7" fillId="0" borderId="0" xfId="0" applyFont="1"/>
    <xf numFmtId="0" fontId="6" fillId="0" borderId="0" xfId="0" applyFont="1"/>
    <xf numFmtId="165" fontId="6" fillId="4" borderId="0" xfId="0" applyNumberFormat="1" applyFont="1" applyFill="1" applyAlignment="1">
      <alignment horizontal="left"/>
    </xf>
    <xf numFmtId="166" fontId="6" fillId="4" borderId="0" xfId="0" applyNumberFormat="1" applyFont="1" applyFill="1"/>
    <xf numFmtId="164" fontId="5" fillId="3" borderId="0" xfId="0" applyNumberFormat="1" applyFont="1" applyFill="1"/>
    <xf numFmtId="164" fontId="5" fillId="0" borderId="0" xfId="0" applyNumberFormat="1" applyFont="1"/>
    <xf numFmtId="0" fontId="2" fillId="0" borderId="1" xfId="0" applyFont="1" applyBorder="1"/>
    <xf numFmtId="0" fontId="0" fillId="0" borderId="2" xfId="0" applyBorder="1"/>
    <xf numFmtId="164" fontId="0" fillId="0" borderId="2" xfId="0" applyNumberFormat="1" applyBorder="1"/>
    <xf numFmtId="164" fontId="0" fillId="0" borderId="3" xfId="0" applyNumberFormat="1" applyBorder="1"/>
    <xf numFmtId="0" fontId="2" fillId="0" borderId="4" xfId="0" applyFont="1" applyBorder="1"/>
    <xf numFmtId="0" fontId="0" fillId="0" borderId="0" xfId="0" quotePrefix="1"/>
    <xf numFmtId="0" fontId="0" fillId="0" borderId="5" xfId="0" applyBorder="1"/>
    <xf numFmtId="0" fontId="0" fillId="0" borderId="4" xfId="0" applyBorder="1"/>
    <xf numFmtId="1" fontId="2" fillId="0" borderId="0" xfId="0" applyNumberFormat="1" applyFont="1"/>
    <xf numFmtId="1" fontId="0" fillId="0" borderId="0" xfId="0" applyNumberFormat="1"/>
    <xf numFmtId="1" fontId="0" fillId="0" borderId="5" xfId="0" applyNumberFormat="1" applyBorder="1"/>
    <xf numFmtId="10" fontId="0" fillId="2" borderId="0" xfId="1" applyNumberFormat="1" applyFont="1" applyFill="1" applyBorder="1"/>
    <xf numFmtId="10" fontId="0" fillId="2" borderId="5" xfId="1" applyNumberFormat="1" applyFont="1" applyFill="1" applyBorder="1"/>
    <xf numFmtId="0" fontId="2" fillId="0" borderId="0" xfId="0" applyFont="1"/>
    <xf numFmtId="0" fontId="0" fillId="0" borderId="6" xfId="0" applyBorder="1"/>
    <xf numFmtId="0" fontId="0" fillId="0" borderId="7" xfId="0" applyBorder="1"/>
    <xf numFmtId="10" fontId="0" fillId="2" borderId="7" xfId="1" applyNumberFormat="1" applyFont="1" applyFill="1" applyBorder="1"/>
    <xf numFmtId="10" fontId="0" fillId="2" borderId="8" xfId="1" applyNumberFormat="1" applyFont="1" applyFill="1" applyBorder="1"/>
    <xf numFmtId="0" fontId="4" fillId="0" borderId="1" xfId="0" applyFont="1" applyBorder="1"/>
    <xf numFmtId="0" fontId="2" fillId="0" borderId="2" xfId="0" applyFont="1" applyBorder="1"/>
    <xf numFmtId="0" fontId="0" fillId="0" borderId="3" xfId="0" applyBorder="1"/>
    <xf numFmtId="0" fontId="3" fillId="0" borderId="6" xfId="0" applyFont="1" applyBorder="1" applyAlignment="1">
      <alignment vertical="top"/>
    </xf>
    <xf numFmtId="10" fontId="0" fillId="0" borderId="7" xfId="1" applyNumberFormat="1" applyFont="1" applyBorder="1"/>
    <xf numFmtId="10" fontId="0" fillId="0" borderId="8" xfId="1" applyNumberFormat="1" applyFont="1" applyBorder="1"/>
    <xf numFmtId="0" fontId="4" fillId="0" borderId="4" xfId="0" applyFont="1" applyBorder="1"/>
    <xf numFmtId="0" fontId="3" fillId="0" borderId="4" xfId="0" applyFont="1" applyBorder="1" applyAlignment="1">
      <alignment vertical="top"/>
    </xf>
    <xf numFmtId="10" fontId="0" fillId="4" borderId="0" xfId="1" applyNumberFormat="1" applyFont="1" applyFill="1" applyBorder="1"/>
    <xf numFmtId="10" fontId="0" fillId="4" borderId="5" xfId="1" applyNumberFormat="1" applyFont="1" applyFill="1" applyBorder="1"/>
    <xf numFmtId="10" fontId="0" fillId="4" borderId="7" xfId="1" applyNumberFormat="1" applyFont="1" applyFill="1" applyBorder="1"/>
    <xf numFmtId="10" fontId="0" fillId="4" borderId="8" xfId="1" applyNumberFormat="1" applyFont="1" applyFill="1" applyBorder="1"/>
    <xf numFmtId="0" fontId="3" fillId="0" borderId="0" xfId="0" applyFont="1" applyAlignment="1">
      <alignment horizontal="left" vertical="top" wrapText="1"/>
    </xf>
  </cellXfs>
  <cellStyles count="2">
    <cellStyle name="Normal" xfId="0" builtinId="0"/>
    <cellStyle name="Per cent" xfId="1" builtinId="5"/>
  </cellStyles>
  <dxfs count="10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Gross domestic product: Chain volume measures ;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276"/>
              <c:pt idx="0">
                <c:v>21794</c:v>
              </c:pt>
              <c:pt idx="1">
                <c:v>21885</c:v>
              </c:pt>
              <c:pt idx="2">
                <c:v>21976</c:v>
              </c:pt>
              <c:pt idx="3">
                <c:v>22068</c:v>
              </c:pt>
              <c:pt idx="4">
                <c:v>22160</c:v>
              </c:pt>
              <c:pt idx="5">
                <c:v>22251</c:v>
              </c:pt>
              <c:pt idx="6">
                <c:v>22341</c:v>
              </c:pt>
              <c:pt idx="7">
                <c:v>22433</c:v>
              </c:pt>
              <c:pt idx="8">
                <c:v>22525</c:v>
              </c:pt>
              <c:pt idx="9">
                <c:v>22616</c:v>
              </c:pt>
              <c:pt idx="10">
                <c:v>22706</c:v>
              </c:pt>
              <c:pt idx="11">
                <c:v>22798</c:v>
              </c:pt>
              <c:pt idx="12">
                <c:v>22890</c:v>
              </c:pt>
              <c:pt idx="13">
                <c:v>22981</c:v>
              </c:pt>
              <c:pt idx="14">
                <c:v>23071</c:v>
              </c:pt>
              <c:pt idx="15">
                <c:v>23163</c:v>
              </c:pt>
              <c:pt idx="16">
                <c:v>23255</c:v>
              </c:pt>
              <c:pt idx="17">
                <c:v>23346</c:v>
              </c:pt>
              <c:pt idx="18">
                <c:v>23437</c:v>
              </c:pt>
              <c:pt idx="19">
                <c:v>23529</c:v>
              </c:pt>
              <c:pt idx="20">
                <c:v>23621</c:v>
              </c:pt>
              <c:pt idx="21">
                <c:v>23712</c:v>
              </c:pt>
              <c:pt idx="22">
                <c:v>23802</c:v>
              </c:pt>
              <c:pt idx="23">
                <c:v>23894</c:v>
              </c:pt>
              <c:pt idx="24">
                <c:v>23986</c:v>
              </c:pt>
              <c:pt idx="25">
                <c:v>24077</c:v>
              </c:pt>
              <c:pt idx="26">
                <c:v>24167</c:v>
              </c:pt>
              <c:pt idx="27">
                <c:v>24259</c:v>
              </c:pt>
              <c:pt idx="28">
                <c:v>24351</c:v>
              </c:pt>
              <c:pt idx="29">
                <c:v>24442</c:v>
              </c:pt>
              <c:pt idx="30">
                <c:v>24532</c:v>
              </c:pt>
              <c:pt idx="31">
                <c:v>24624</c:v>
              </c:pt>
              <c:pt idx="32">
                <c:v>24716</c:v>
              </c:pt>
              <c:pt idx="33">
                <c:v>24807</c:v>
              </c:pt>
              <c:pt idx="34">
                <c:v>24898</c:v>
              </c:pt>
              <c:pt idx="35">
                <c:v>24990</c:v>
              </c:pt>
              <c:pt idx="36">
                <c:v>25082</c:v>
              </c:pt>
              <c:pt idx="37">
                <c:v>25173</c:v>
              </c:pt>
              <c:pt idx="38">
                <c:v>25263</c:v>
              </c:pt>
              <c:pt idx="39">
                <c:v>25355</c:v>
              </c:pt>
              <c:pt idx="40">
                <c:v>25447</c:v>
              </c:pt>
              <c:pt idx="41">
                <c:v>25538</c:v>
              </c:pt>
              <c:pt idx="42">
                <c:v>25628</c:v>
              </c:pt>
              <c:pt idx="43">
                <c:v>25720</c:v>
              </c:pt>
              <c:pt idx="44">
                <c:v>25812</c:v>
              </c:pt>
              <c:pt idx="45">
                <c:v>25903</c:v>
              </c:pt>
              <c:pt idx="46">
                <c:v>25993</c:v>
              </c:pt>
              <c:pt idx="47">
                <c:v>26085</c:v>
              </c:pt>
              <c:pt idx="48">
                <c:v>26177</c:v>
              </c:pt>
              <c:pt idx="49">
                <c:v>26268</c:v>
              </c:pt>
              <c:pt idx="50">
                <c:v>26359</c:v>
              </c:pt>
              <c:pt idx="51">
                <c:v>26451</c:v>
              </c:pt>
              <c:pt idx="52">
                <c:v>26543</c:v>
              </c:pt>
              <c:pt idx="53">
                <c:v>26634</c:v>
              </c:pt>
              <c:pt idx="54">
                <c:v>26724</c:v>
              </c:pt>
              <c:pt idx="55">
                <c:v>26816</c:v>
              </c:pt>
              <c:pt idx="56">
                <c:v>26908</c:v>
              </c:pt>
              <c:pt idx="57">
                <c:v>26999</c:v>
              </c:pt>
              <c:pt idx="58">
                <c:v>27089</c:v>
              </c:pt>
              <c:pt idx="59">
                <c:v>27181</c:v>
              </c:pt>
              <c:pt idx="60">
                <c:v>27273</c:v>
              </c:pt>
              <c:pt idx="61">
                <c:v>27364</c:v>
              </c:pt>
              <c:pt idx="62">
                <c:v>27454</c:v>
              </c:pt>
              <c:pt idx="63">
                <c:v>27546</c:v>
              </c:pt>
              <c:pt idx="64">
                <c:v>27638</c:v>
              </c:pt>
              <c:pt idx="65">
                <c:v>27729</c:v>
              </c:pt>
              <c:pt idx="66">
                <c:v>27820</c:v>
              </c:pt>
              <c:pt idx="67">
                <c:v>27912</c:v>
              </c:pt>
              <c:pt idx="68">
                <c:v>28004</c:v>
              </c:pt>
              <c:pt idx="69">
                <c:v>28095</c:v>
              </c:pt>
              <c:pt idx="70">
                <c:v>28185</c:v>
              </c:pt>
              <c:pt idx="71">
                <c:v>28277</c:v>
              </c:pt>
              <c:pt idx="72">
                <c:v>28369</c:v>
              </c:pt>
              <c:pt idx="73">
                <c:v>28460</c:v>
              </c:pt>
              <c:pt idx="74">
                <c:v>28550</c:v>
              </c:pt>
              <c:pt idx="75">
                <c:v>28642</c:v>
              </c:pt>
              <c:pt idx="76">
                <c:v>28734</c:v>
              </c:pt>
              <c:pt idx="77">
                <c:v>28825</c:v>
              </c:pt>
              <c:pt idx="78">
                <c:v>28915</c:v>
              </c:pt>
              <c:pt idx="79">
                <c:v>29007</c:v>
              </c:pt>
              <c:pt idx="80">
                <c:v>29099</c:v>
              </c:pt>
              <c:pt idx="81">
                <c:v>29190</c:v>
              </c:pt>
              <c:pt idx="82">
                <c:v>29281</c:v>
              </c:pt>
              <c:pt idx="83">
                <c:v>29373</c:v>
              </c:pt>
              <c:pt idx="84">
                <c:v>29465</c:v>
              </c:pt>
              <c:pt idx="85">
                <c:v>29556</c:v>
              </c:pt>
              <c:pt idx="86">
                <c:v>29646</c:v>
              </c:pt>
              <c:pt idx="87">
                <c:v>29738</c:v>
              </c:pt>
              <c:pt idx="88">
                <c:v>29830</c:v>
              </c:pt>
              <c:pt idx="89">
                <c:v>29921</c:v>
              </c:pt>
              <c:pt idx="90">
                <c:v>30011</c:v>
              </c:pt>
              <c:pt idx="91">
                <c:v>30103</c:v>
              </c:pt>
              <c:pt idx="92">
                <c:v>30195</c:v>
              </c:pt>
              <c:pt idx="93">
                <c:v>30286</c:v>
              </c:pt>
              <c:pt idx="94">
                <c:v>30376</c:v>
              </c:pt>
              <c:pt idx="95">
                <c:v>30468</c:v>
              </c:pt>
              <c:pt idx="96">
                <c:v>30560</c:v>
              </c:pt>
              <c:pt idx="97">
                <c:v>30651</c:v>
              </c:pt>
              <c:pt idx="98">
                <c:v>30742</c:v>
              </c:pt>
              <c:pt idx="99">
                <c:v>30834</c:v>
              </c:pt>
              <c:pt idx="100">
                <c:v>30926</c:v>
              </c:pt>
              <c:pt idx="101">
                <c:v>31017</c:v>
              </c:pt>
              <c:pt idx="102">
                <c:v>31107</c:v>
              </c:pt>
              <c:pt idx="103">
                <c:v>31199</c:v>
              </c:pt>
              <c:pt idx="104">
                <c:v>31291</c:v>
              </c:pt>
              <c:pt idx="105">
                <c:v>31382</c:v>
              </c:pt>
              <c:pt idx="106">
                <c:v>31472</c:v>
              </c:pt>
              <c:pt idx="107">
                <c:v>31564</c:v>
              </c:pt>
              <c:pt idx="108">
                <c:v>31656</c:v>
              </c:pt>
              <c:pt idx="109">
                <c:v>31747</c:v>
              </c:pt>
              <c:pt idx="110">
                <c:v>31837</c:v>
              </c:pt>
              <c:pt idx="111">
                <c:v>31929</c:v>
              </c:pt>
              <c:pt idx="112">
                <c:v>32021</c:v>
              </c:pt>
              <c:pt idx="113">
                <c:v>32112</c:v>
              </c:pt>
              <c:pt idx="114">
                <c:v>32203</c:v>
              </c:pt>
              <c:pt idx="115">
                <c:v>32295</c:v>
              </c:pt>
              <c:pt idx="116">
                <c:v>32387</c:v>
              </c:pt>
              <c:pt idx="117">
                <c:v>32478</c:v>
              </c:pt>
              <c:pt idx="118">
                <c:v>32568</c:v>
              </c:pt>
              <c:pt idx="119">
                <c:v>32660</c:v>
              </c:pt>
              <c:pt idx="120">
                <c:v>32752</c:v>
              </c:pt>
              <c:pt idx="121">
                <c:v>32843</c:v>
              </c:pt>
              <c:pt idx="122">
                <c:v>32933</c:v>
              </c:pt>
              <c:pt idx="123">
                <c:v>33025</c:v>
              </c:pt>
              <c:pt idx="124">
                <c:v>33117</c:v>
              </c:pt>
              <c:pt idx="125">
                <c:v>33208</c:v>
              </c:pt>
              <c:pt idx="126">
                <c:v>33298</c:v>
              </c:pt>
              <c:pt idx="127">
                <c:v>33390</c:v>
              </c:pt>
              <c:pt idx="128">
                <c:v>33482</c:v>
              </c:pt>
              <c:pt idx="129">
                <c:v>33573</c:v>
              </c:pt>
              <c:pt idx="130">
                <c:v>33664</c:v>
              </c:pt>
              <c:pt idx="131">
                <c:v>33756</c:v>
              </c:pt>
              <c:pt idx="132">
                <c:v>33848</c:v>
              </c:pt>
              <c:pt idx="133">
                <c:v>33939</c:v>
              </c:pt>
              <c:pt idx="134">
                <c:v>34029</c:v>
              </c:pt>
              <c:pt idx="135">
                <c:v>34121</c:v>
              </c:pt>
              <c:pt idx="136">
                <c:v>34213</c:v>
              </c:pt>
              <c:pt idx="137">
                <c:v>34304</c:v>
              </c:pt>
              <c:pt idx="138">
                <c:v>34394</c:v>
              </c:pt>
              <c:pt idx="139">
                <c:v>34486</c:v>
              </c:pt>
              <c:pt idx="140">
                <c:v>34578</c:v>
              </c:pt>
              <c:pt idx="141">
                <c:v>34669</c:v>
              </c:pt>
              <c:pt idx="142">
                <c:v>34759</c:v>
              </c:pt>
              <c:pt idx="143">
                <c:v>34851</c:v>
              </c:pt>
              <c:pt idx="144">
                <c:v>34943</c:v>
              </c:pt>
              <c:pt idx="145">
                <c:v>35034</c:v>
              </c:pt>
              <c:pt idx="146">
                <c:v>35125</c:v>
              </c:pt>
              <c:pt idx="147">
                <c:v>35217</c:v>
              </c:pt>
              <c:pt idx="148">
                <c:v>35309</c:v>
              </c:pt>
              <c:pt idx="149">
                <c:v>35400</c:v>
              </c:pt>
              <c:pt idx="150">
                <c:v>35490</c:v>
              </c:pt>
              <c:pt idx="151">
                <c:v>35582</c:v>
              </c:pt>
              <c:pt idx="152">
                <c:v>35674</c:v>
              </c:pt>
              <c:pt idx="153">
                <c:v>35765</c:v>
              </c:pt>
              <c:pt idx="154">
                <c:v>35855</c:v>
              </c:pt>
              <c:pt idx="155">
                <c:v>35947</c:v>
              </c:pt>
              <c:pt idx="156">
                <c:v>36039</c:v>
              </c:pt>
              <c:pt idx="157">
                <c:v>36130</c:v>
              </c:pt>
              <c:pt idx="158">
                <c:v>36220</c:v>
              </c:pt>
              <c:pt idx="159">
                <c:v>36312</c:v>
              </c:pt>
              <c:pt idx="160">
                <c:v>36404</c:v>
              </c:pt>
              <c:pt idx="161">
                <c:v>36495</c:v>
              </c:pt>
              <c:pt idx="162">
                <c:v>36586</c:v>
              </c:pt>
              <c:pt idx="163">
                <c:v>36678</c:v>
              </c:pt>
              <c:pt idx="164">
                <c:v>36770</c:v>
              </c:pt>
              <c:pt idx="165">
                <c:v>36861</c:v>
              </c:pt>
              <c:pt idx="166">
                <c:v>36951</c:v>
              </c:pt>
              <c:pt idx="167">
                <c:v>37043</c:v>
              </c:pt>
              <c:pt idx="168">
                <c:v>37135</c:v>
              </c:pt>
              <c:pt idx="169">
                <c:v>37226</c:v>
              </c:pt>
              <c:pt idx="170">
                <c:v>37316</c:v>
              </c:pt>
              <c:pt idx="171">
                <c:v>37408</c:v>
              </c:pt>
              <c:pt idx="172">
                <c:v>37500</c:v>
              </c:pt>
              <c:pt idx="173">
                <c:v>37591</c:v>
              </c:pt>
              <c:pt idx="174">
                <c:v>37681</c:v>
              </c:pt>
              <c:pt idx="175">
                <c:v>37773</c:v>
              </c:pt>
              <c:pt idx="176">
                <c:v>37865</c:v>
              </c:pt>
              <c:pt idx="177">
                <c:v>37956</c:v>
              </c:pt>
              <c:pt idx="178">
                <c:v>38047</c:v>
              </c:pt>
              <c:pt idx="179">
                <c:v>38139</c:v>
              </c:pt>
              <c:pt idx="180">
                <c:v>38231</c:v>
              </c:pt>
              <c:pt idx="181">
                <c:v>38322</c:v>
              </c:pt>
              <c:pt idx="182">
                <c:v>38412</c:v>
              </c:pt>
              <c:pt idx="183">
                <c:v>38504</c:v>
              </c:pt>
              <c:pt idx="184">
                <c:v>38596</c:v>
              </c:pt>
              <c:pt idx="185">
                <c:v>38687</c:v>
              </c:pt>
              <c:pt idx="186">
                <c:v>38777</c:v>
              </c:pt>
              <c:pt idx="187">
                <c:v>38869</c:v>
              </c:pt>
              <c:pt idx="188">
                <c:v>38961</c:v>
              </c:pt>
              <c:pt idx="189">
                <c:v>39052</c:v>
              </c:pt>
              <c:pt idx="190">
                <c:v>39142</c:v>
              </c:pt>
              <c:pt idx="191">
                <c:v>39234</c:v>
              </c:pt>
              <c:pt idx="192">
                <c:v>39326</c:v>
              </c:pt>
              <c:pt idx="193">
                <c:v>39417</c:v>
              </c:pt>
              <c:pt idx="194">
                <c:v>39508</c:v>
              </c:pt>
              <c:pt idx="195">
                <c:v>39600</c:v>
              </c:pt>
              <c:pt idx="196">
                <c:v>39692</c:v>
              </c:pt>
              <c:pt idx="197">
                <c:v>39783</c:v>
              </c:pt>
              <c:pt idx="198">
                <c:v>39873</c:v>
              </c:pt>
              <c:pt idx="199">
                <c:v>39965</c:v>
              </c:pt>
              <c:pt idx="200">
                <c:v>40057</c:v>
              </c:pt>
              <c:pt idx="201">
                <c:v>40148</c:v>
              </c:pt>
              <c:pt idx="202">
                <c:v>40238</c:v>
              </c:pt>
              <c:pt idx="203">
                <c:v>40330</c:v>
              </c:pt>
              <c:pt idx="204">
                <c:v>40422</c:v>
              </c:pt>
              <c:pt idx="205">
                <c:v>40513</c:v>
              </c:pt>
              <c:pt idx="206">
                <c:v>40603</c:v>
              </c:pt>
              <c:pt idx="207">
                <c:v>40695</c:v>
              </c:pt>
              <c:pt idx="208">
                <c:v>40787</c:v>
              </c:pt>
              <c:pt idx="209">
                <c:v>40878</c:v>
              </c:pt>
              <c:pt idx="210">
                <c:v>40969</c:v>
              </c:pt>
              <c:pt idx="211">
                <c:v>41061</c:v>
              </c:pt>
              <c:pt idx="212">
                <c:v>41153</c:v>
              </c:pt>
              <c:pt idx="213">
                <c:v>41244</c:v>
              </c:pt>
              <c:pt idx="214">
                <c:v>41334</c:v>
              </c:pt>
              <c:pt idx="215">
                <c:v>41426</c:v>
              </c:pt>
              <c:pt idx="216">
                <c:v>41518</c:v>
              </c:pt>
              <c:pt idx="217">
                <c:v>41609</c:v>
              </c:pt>
              <c:pt idx="218">
                <c:v>41699</c:v>
              </c:pt>
              <c:pt idx="219">
                <c:v>41791</c:v>
              </c:pt>
              <c:pt idx="220">
                <c:v>41883</c:v>
              </c:pt>
              <c:pt idx="221">
                <c:v>41974</c:v>
              </c:pt>
              <c:pt idx="222">
                <c:v>42064</c:v>
              </c:pt>
              <c:pt idx="223">
                <c:v>42156</c:v>
              </c:pt>
              <c:pt idx="224">
                <c:v>42248</c:v>
              </c:pt>
              <c:pt idx="225">
                <c:v>42339</c:v>
              </c:pt>
              <c:pt idx="226">
                <c:v>42430</c:v>
              </c:pt>
              <c:pt idx="227">
                <c:v>42522</c:v>
              </c:pt>
              <c:pt idx="228">
                <c:v>42614</c:v>
              </c:pt>
              <c:pt idx="229">
                <c:v>42705</c:v>
              </c:pt>
              <c:pt idx="230">
                <c:v>42795</c:v>
              </c:pt>
              <c:pt idx="231">
                <c:v>42887</c:v>
              </c:pt>
              <c:pt idx="232">
                <c:v>42979</c:v>
              </c:pt>
              <c:pt idx="233">
                <c:v>43070</c:v>
              </c:pt>
              <c:pt idx="234">
                <c:v>43160</c:v>
              </c:pt>
              <c:pt idx="235">
                <c:v>43252</c:v>
              </c:pt>
              <c:pt idx="236">
                <c:v>43344</c:v>
              </c:pt>
              <c:pt idx="237">
                <c:v>43435</c:v>
              </c:pt>
              <c:pt idx="238">
                <c:v>43525</c:v>
              </c:pt>
              <c:pt idx="239">
                <c:v>43617</c:v>
              </c:pt>
              <c:pt idx="240">
                <c:v>43709</c:v>
              </c:pt>
              <c:pt idx="241">
                <c:v>43800</c:v>
              </c:pt>
              <c:pt idx="242">
                <c:v>43891</c:v>
              </c:pt>
              <c:pt idx="243">
                <c:v>43983</c:v>
              </c:pt>
              <c:pt idx="244">
                <c:v>44075</c:v>
              </c:pt>
              <c:pt idx="245">
                <c:v>44166</c:v>
              </c:pt>
              <c:pt idx="246">
                <c:v>44256</c:v>
              </c:pt>
              <c:pt idx="247">
                <c:v>44348</c:v>
              </c:pt>
              <c:pt idx="248">
                <c:v>44440</c:v>
              </c:pt>
              <c:pt idx="249">
                <c:v>44531</c:v>
              </c:pt>
              <c:pt idx="250">
                <c:v>44621</c:v>
              </c:pt>
              <c:pt idx="251">
                <c:v>44713</c:v>
              </c:pt>
              <c:pt idx="252">
                <c:v>44805</c:v>
              </c:pt>
              <c:pt idx="253">
                <c:v>44896</c:v>
              </c:pt>
              <c:pt idx="254">
                <c:v>44986</c:v>
              </c:pt>
              <c:pt idx="255">
                <c:v>45078</c:v>
              </c:pt>
              <c:pt idx="256">
                <c:v>45170</c:v>
              </c:pt>
              <c:pt idx="257">
                <c:v>45261</c:v>
              </c:pt>
              <c:pt idx="258">
                <c:v>45352</c:v>
              </c:pt>
              <c:pt idx="259">
                <c:v>45444</c:v>
              </c:pt>
              <c:pt idx="260">
                <c:v>45536</c:v>
              </c:pt>
              <c:pt idx="261">
                <c:v>45627</c:v>
              </c:pt>
              <c:pt idx="262">
                <c:v>45717</c:v>
              </c:pt>
              <c:pt idx="263">
                <c:v>45809</c:v>
              </c:pt>
              <c:pt idx="264">
                <c:v>45901</c:v>
              </c:pt>
              <c:pt idx="265">
                <c:v>45992</c:v>
              </c:pt>
              <c:pt idx="266">
                <c:v>46082</c:v>
              </c:pt>
            </c:numLit>
          </c:cat>
          <c:val>
            <c:numLit>
              <c:formatCode>General</c:formatCode>
              <c:ptCount val="276"/>
              <c:pt idx="0">
                <c:v>80842</c:v>
              </c:pt>
              <c:pt idx="1">
                <c:v>81602</c:v>
              </c:pt>
              <c:pt idx="2">
                <c:v>82016</c:v>
              </c:pt>
              <c:pt idx="3">
                <c:v>84257</c:v>
              </c:pt>
              <c:pt idx="4">
                <c:v>84438</c:v>
              </c:pt>
              <c:pt idx="5">
                <c:v>84286</c:v>
              </c:pt>
              <c:pt idx="6">
                <c:v>84539</c:v>
              </c:pt>
              <c:pt idx="7">
                <c:v>83609</c:v>
              </c:pt>
              <c:pt idx="8">
                <c:v>83006</c:v>
              </c:pt>
              <c:pt idx="9">
                <c:v>83959</c:v>
              </c:pt>
              <c:pt idx="10">
                <c:v>86308</c:v>
              </c:pt>
              <c:pt idx="11">
                <c:v>87969</c:v>
              </c:pt>
              <c:pt idx="12">
                <c:v>88673</c:v>
              </c:pt>
              <c:pt idx="13">
                <c:v>90263</c:v>
              </c:pt>
              <c:pt idx="14">
                <c:v>92352</c:v>
              </c:pt>
              <c:pt idx="15">
                <c:v>91159</c:v>
              </c:pt>
              <c:pt idx="16">
                <c:v>94901</c:v>
              </c:pt>
              <c:pt idx="17">
                <c:v>96925</c:v>
              </c:pt>
              <c:pt idx="18">
                <c:v>96758</c:v>
              </c:pt>
              <c:pt idx="19">
                <c:v>99153</c:v>
              </c:pt>
              <c:pt idx="20">
                <c:v>99760</c:v>
              </c:pt>
              <c:pt idx="21">
                <c:v>102593</c:v>
              </c:pt>
              <c:pt idx="22">
                <c:v>103470</c:v>
              </c:pt>
              <c:pt idx="23">
                <c:v>105090</c:v>
              </c:pt>
              <c:pt idx="24">
                <c:v>104774</c:v>
              </c:pt>
              <c:pt idx="25">
                <c:v>105032</c:v>
              </c:pt>
              <c:pt idx="26">
                <c:v>104732</c:v>
              </c:pt>
              <c:pt idx="27">
                <c:v>106160</c:v>
              </c:pt>
              <c:pt idx="28">
                <c:v>109160</c:v>
              </c:pt>
              <c:pt idx="29">
                <c:v>109881</c:v>
              </c:pt>
              <c:pt idx="30">
                <c:v>114174</c:v>
              </c:pt>
              <c:pt idx="31">
                <c:v>114016</c:v>
              </c:pt>
              <c:pt idx="32">
                <c:v>116153</c:v>
              </c:pt>
              <c:pt idx="33">
                <c:v>117162</c:v>
              </c:pt>
              <c:pt idx="34">
                <c:v>116120</c:v>
              </c:pt>
              <c:pt idx="35">
                <c:v>120583</c:v>
              </c:pt>
              <c:pt idx="36">
                <c:v>122177</c:v>
              </c:pt>
              <c:pt idx="37">
                <c:v>126736</c:v>
              </c:pt>
              <c:pt idx="38">
                <c:v>125871</c:v>
              </c:pt>
              <c:pt idx="39">
                <c:v>128360</c:v>
              </c:pt>
              <c:pt idx="40">
                <c:v>130479</c:v>
              </c:pt>
              <c:pt idx="41">
                <c:v>133488</c:v>
              </c:pt>
              <c:pt idx="42">
                <c:v>136256</c:v>
              </c:pt>
              <c:pt idx="43">
                <c:v>139020</c:v>
              </c:pt>
              <c:pt idx="44">
                <c:v>138729</c:v>
              </c:pt>
              <c:pt idx="45">
                <c:v>139334</c:v>
              </c:pt>
              <c:pt idx="46">
                <c:v>141069</c:v>
              </c:pt>
              <c:pt idx="47">
                <c:v>141684</c:v>
              </c:pt>
              <c:pt idx="48">
                <c:v>146103</c:v>
              </c:pt>
              <c:pt idx="49">
                <c:v>145631</c:v>
              </c:pt>
              <c:pt idx="50">
                <c:v>143895</c:v>
              </c:pt>
              <c:pt idx="51">
                <c:v>147099</c:v>
              </c:pt>
              <c:pt idx="52">
                <c:v>146358</c:v>
              </c:pt>
              <c:pt idx="53">
                <c:v>147888</c:v>
              </c:pt>
              <c:pt idx="54">
                <c:v>151728</c:v>
              </c:pt>
              <c:pt idx="55">
                <c:v>152014</c:v>
              </c:pt>
              <c:pt idx="56">
                <c:v>153536</c:v>
              </c:pt>
              <c:pt idx="57">
                <c:v>157369</c:v>
              </c:pt>
              <c:pt idx="58">
                <c:v>157417</c:v>
              </c:pt>
              <c:pt idx="59">
                <c:v>154222</c:v>
              </c:pt>
              <c:pt idx="60">
                <c:v>156046</c:v>
              </c:pt>
              <c:pt idx="61">
                <c:v>156226</c:v>
              </c:pt>
              <c:pt idx="62">
                <c:v>156823</c:v>
              </c:pt>
              <c:pt idx="63">
                <c:v>161783</c:v>
              </c:pt>
              <c:pt idx="64">
                <c:v>159991</c:v>
              </c:pt>
              <c:pt idx="65">
                <c:v>157586</c:v>
              </c:pt>
              <c:pt idx="66">
                <c:v>164568</c:v>
              </c:pt>
              <c:pt idx="67">
                <c:v>165058</c:v>
              </c:pt>
              <c:pt idx="68">
                <c:v>166399</c:v>
              </c:pt>
              <c:pt idx="69">
                <c:v>167832</c:v>
              </c:pt>
              <c:pt idx="70">
                <c:v>166929</c:v>
              </c:pt>
              <c:pt idx="71">
                <c:v>169294</c:v>
              </c:pt>
              <c:pt idx="72">
                <c:v>168568</c:v>
              </c:pt>
              <c:pt idx="73">
                <c:v>168041</c:v>
              </c:pt>
              <c:pt idx="74">
                <c:v>169212</c:v>
              </c:pt>
              <c:pt idx="75">
                <c:v>170637</c:v>
              </c:pt>
              <c:pt idx="76">
                <c:v>173231</c:v>
              </c:pt>
              <c:pt idx="77">
                <c:v>174637</c:v>
              </c:pt>
              <c:pt idx="78">
                <c:v>179443</c:v>
              </c:pt>
              <c:pt idx="79">
                <c:v>176553</c:v>
              </c:pt>
              <c:pt idx="80">
                <c:v>178193</c:v>
              </c:pt>
              <c:pt idx="81">
                <c:v>181623</c:v>
              </c:pt>
              <c:pt idx="82">
                <c:v>182478</c:v>
              </c:pt>
              <c:pt idx="83">
                <c:v>182929</c:v>
              </c:pt>
              <c:pt idx="84">
                <c:v>183921</c:v>
              </c:pt>
              <c:pt idx="85">
                <c:v>187071</c:v>
              </c:pt>
              <c:pt idx="86">
                <c:v>187774</c:v>
              </c:pt>
              <c:pt idx="87">
                <c:v>190698</c:v>
              </c:pt>
              <c:pt idx="88">
                <c:v>194547</c:v>
              </c:pt>
              <c:pt idx="89">
                <c:v>193750</c:v>
              </c:pt>
              <c:pt idx="90">
                <c:v>192200</c:v>
              </c:pt>
              <c:pt idx="91">
                <c:v>193912</c:v>
              </c:pt>
              <c:pt idx="92">
                <c:v>192629</c:v>
              </c:pt>
              <c:pt idx="93">
                <c:v>189529</c:v>
              </c:pt>
              <c:pt idx="94">
                <c:v>187699</c:v>
              </c:pt>
              <c:pt idx="95">
                <c:v>187316</c:v>
              </c:pt>
              <c:pt idx="96">
                <c:v>192527</c:v>
              </c:pt>
              <c:pt idx="97">
                <c:v>195767</c:v>
              </c:pt>
              <c:pt idx="98">
                <c:v>200551</c:v>
              </c:pt>
              <c:pt idx="99">
                <c:v>202888</c:v>
              </c:pt>
              <c:pt idx="100">
                <c:v>204764</c:v>
              </c:pt>
              <c:pt idx="101">
                <c:v>206003</c:v>
              </c:pt>
              <c:pt idx="102">
                <c:v>209049</c:v>
              </c:pt>
              <c:pt idx="103">
                <c:v>213736</c:v>
              </c:pt>
              <c:pt idx="104">
                <c:v>216480</c:v>
              </c:pt>
              <c:pt idx="105">
                <c:v>215860</c:v>
              </c:pt>
              <c:pt idx="106">
                <c:v>217343</c:v>
              </c:pt>
              <c:pt idx="107">
                <c:v>216958</c:v>
              </c:pt>
              <c:pt idx="108">
                <c:v>217525</c:v>
              </c:pt>
              <c:pt idx="109">
                <c:v>221103</c:v>
              </c:pt>
              <c:pt idx="110">
                <c:v>223306</c:v>
              </c:pt>
              <c:pt idx="111">
                <c:v>226866</c:v>
              </c:pt>
              <c:pt idx="112">
                <c:v>230949</c:v>
              </c:pt>
              <c:pt idx="113">
                <c:v>235613</c:v>
              </c:pt>
              <c:pt idx="114">
                <c:v>236601</c:v>
              </c:pt>
              <c:pt idx="115">
                <c:v>236843</c:v>
              </c:pt>
              <c:pt idx="116">
                <c:v>238732</c:v>
              </c:pt>
              <c:pt idx="117">
                <c:v>242652</c:v>
              </c:pt>
              <c:pt idx="118">
                <c:v>244896</c:v>
              </c:pt>
              <c:pt idx="119">
                <c:v>250189</c:v>
              </c:pt>
              <c:pt idx="120">
                <c:v>252318</c:v>
              </c:pt>
              <c:pt idx="121">
                <c:v>251641</c:v>
              </c:pt>
              <c:pt idx="122">
                <c:v>253527</c:v>
              </c:pt>
              <c:pt idx="123">
                <c:v>253871</c:v>
              </c:pt>
              <c:pt idx="124">
                <c:v>252550</c:v>
              </c:pt>
              <c:pt idx="125">
                <c:v>253941</c:v>
              </c:pt>
              <c:pt idx="126">
                <c:v>250751</c:v>
              </c:pt>
              <c:pt idx="127">
                <c:v>250227</c:v>
              </c:pt>
              <c:pt idx="128">
                <c:v>251370</c:v>
              </c:pt>
              <c:pt idx="129">
                <c:v>251546</c:v>
              </c:pt>
              <c:pt idx="130">
                <c:v>253539</c:v>
              </c:pt>
              <c:pt idx="131">
                <c:v>255375</c:v>
              </c:pt>
              <c:pt idx="132">
                <c:v>257851</c:v>
              </c:pt>
              <c:pt idx="133">
                <c:v>263251</c:v>
              </c:pt>
              <c:pt idx="134">
                <c:v>265076</c:v>
              </c:pt>
              <c:pt idx="135">
                <c:v>266590</c:v>
              </c:pt>
              <c:pt idx="136">
                <c:v>266912</c:v>
              </c:pt>
              <c:pt idx="137">
                <c:v>271795</c:v>
              </c:pt>
              <c:pt idx="138">
                <c:v>276328</c:v>
              </c:pt>
              <c:pt idx="139">
                <c:v>279621</c:v>
              </c:pt>
              <c:pt idx="140">
                <c:v>281753</c:v>
              </c:pt>
              <c:pt idx="141">
                <c:v>284861</c:v>
              </c:pt>
              <c:pt idx="142">
                <c:v>284635</c:v>
              </c:pt>
              <c:pt idx="143">
                <c:v>285991</c:v>
              </c:pt>
              <c:pt idx="144">
                <c:v>292600</c:v>
              </c:pt>
              <c:pt idx="145">
                <c:v>292553</c:v>
              </c:pt>
              <c:pt idx="146">
                <c:v>297073</c:v>
              </c:pt>
              <c:pt idx="147">
                <c:v>298975</c:v>
              </c:pt>
              <c:pt idx="148">
                <c:v>301360</c:v>
              </c:pt>
              <c:pt idx="149">
                <c:v>304236</c:v>
              </c:pt>
              <c:pt idx="150">
                <c:v>306373</c:v>
              </c:pt>
              <c:pt idx="151">
                <c:v>315512</c:v>
              </c:pt>
              <c:pt idx="152">
                <c:v>315980</c:v>
              </c:pt>
              <c:pt idx="153">
                <c:v>320542</c:v>
              </c:pt>
              <c:pt idx="154">
                <c:v>322495</c:v>
              </c:pt>
              <c:pt idx="155">
                <c:v>325872</c:v>
              </c:pt>
              <c:pt idx="156">
                <c:v>331941</c:v>
              </c:pt>
              <c:pt idx="157">
                <c:v>337084</c:v>
              </c:pt>
              <c:pt idx="158">
                <c:v>339593</c:v>
              </c:pt>
              <c:pt idx="159">
                <c:v>340877</c:v>
              </c:pt>
              <c:pt idx="160">
                <c:v>344646</c:v>
              </c:pt>
              <c:pt idx="161">
                <c:v>350510</c:v>
              </c:pt>
              <c:pt idx="162">
                <c:v>351882</c:v>
              </c:pt>
              <c:pt idx="163">
                <c:v>355304</c:v>
              </c:pt>
              <c:pt idx="164">
                <c:v>356301</c:v>
              </c:pt>
              <c:pt idx="165">
                <c:v>354898</c:v>
              </c:pt>
              <c:pt idx="166">
                <c:v>358245</c:v>
              </c:pt>
              <c:pt idx="167">
                <c:v>361385</c:v>
              </c:pt>
              <c:pt idx="168">
                <c:v>365519</c:v>
              </c:pt>
              <c:pt idx="169">
                <c:v>369880</c:v>
              </c:pt>
              <c:pt idx="170">
                <c:v>372764</c:v>
              </c:pt>
              <c:pt idx="171">
                <c:v>379182</c:v>
              </c:pt>
              <c:pt idx="172">
                <c:v>380118</c:v>
              </c:pt>
              <c:pt idx="173">
                <c:v>383312</c:v>
              </c:pt>
              <c:pt idx="174">
                <c:v>384195</c:v>
              </c:pt>
              <c:pt idx="175">
                <c:v>385697</c:v>
              </c:pt>
              <c:pt idx="176">
                <c:v>392275</c:v>
              </c:pt>
              <c:pt idx="177">
                <c:v>398941</c:v>
              </c:pt>
              <c:pt idx="178">
                <c:v>401918</c:v>
              </c:pt>
              <c:pt idx="179">
                <c:v>404879</c:v>
              </c:pt>
              <c:pt idx="180">
                <c:v>407620</c:v>
              </c:pt>
              <c:pt idx="181">
                <c:v>410742</c:v>
              </c:pt>
              <c:pt idx="182">
                <c:v>414115</c:v>
              </c:pt>
              <c:pt idx="183">
                <c:v>415961</c:v>
              </c:pt>
              <c:pt idx="184">
                <c:v>420475</c:v>
              </c:pt>
              <c:pt idx="185">
                <c:v>424018</c:v>
              </c:pt>
              <c:pt idx="186">
                <c:v>424302</c:v>
              </c:pt>
              <c:pt idx="187">
                <c:v>425319</c:v>
              </c:pt>
              <c:pt idx="188">
                <c:v>431834</c:v>
              </c:pt>
              <c:pt idx="189">
                <c:v>437260</c:v>
              </c:pt>
              <c:pt idx="190">
                <c:v>443222</c:v>
              </c:pt>
              <c:pt idx="191">
                <c:v>445997</c:v>
              </c:pt>
              <c:pt idx="192">
                <c:v>451367</c:v>
              </c:pt>
              <c:pt idx="193">
                <c:v>453019</c:v>
              </c:pt>
              <c:pt idx="194">
                <c:v>458046</c:v>
              </c:pt>
              <c:pt idx="195">
                <c:v>459602</c:v>
              </c:pt>
              <c:pt idx="196">
                <c:v>462855</c:v>
              </c:pt>
              <c:pt idx="197">
                <c:v>460883</c:v>
              </c:pt>
              <c:pt idx="198">
                <c:v>465520</c:v>
              </c:pt>
              <c:pt idx="199">
                <c:v>468393</c:v>
              </c:pt>
              <c:pt idx="200">
                <c:v>470050</c:v>
              </c:pt>
              <c:pt idx="201">
                <c:v>473826</c:v>
              </c:pt>
              <c:pt idx="202">
                <c:v>475934</c:v>
              </c:pt>
              <c:pt idx="203">
                <c:v>478897</c:v>
              </c:pt>
              <c:pt idx="204">
                <c:v>482263</c:v>
              </c:pt>
              <c:pt idx="205">
                <c:v>486298</c:v>
              </c:pt>
              <c:pt idx="206">
                <c:v>484880</c:v>
              </c:pt>
              <c:pt idx="207">
                <c:v>490735</c:v>
              </c:pt>
              <c:pt idx="208">
                <c:v>497577</c:v>
              </c:pt>
              <c:pt idx="209">
                <c:v>503106</c:v>
              </c:pt>
              <c:pt idx="210">
                <c:v>508343</c:v>
              </c:pt>
              <c:pt idx="211">
                <c:v>511992</c:v>
              </c:pt>
              <c:pt idx="212">
                <c:v>515130</c:v>
              </c:pt>
              <c:pt idx="213">
                <c:v>517406</c:v>
              </c:pt>
              <c:pt idx="214">
                <c:v>520081</c:v>
              </c:pt>
              <c:pt idx="215">
                <c:v>522048</c:v>
              </c:pt>
              <c:pt idx="216">
                <c:v>526346</c:v>
              </c:pt>
              <c:pt idx="217">
                <c:v>530450</c:v>
              </c:pt>
              <c:pt idx="218">
                <c:v>534586</c:v>
              </c:pt>
              <c:pt idx="219">
                <c:v>537250</c:v>
              </c:pt>
              <c:pt idx="220">
                <c:v>539402</c:v>
              </c:pt>
              <c:pt idx="221">
                <c:v>541385</c:v>
              </c:pt>
              <c:pt idx="222">
                <c:v>546635</c:v>
              </c:pt>
              <c:pt idx="223">
                <c:v>547281</c:v>
              </c:pt>
              <c:pt idx="224">
                <c:v>552613</c:v>
              </c:pt>
              <c:pt idx="225">
                <c:v>556043</c:v>
              </c:pt>
              <c:pt idx="226">
                <c:v>561139</c:v>
              </c:pt>
              <c:pt idx="227">
                <c:v>564835</c:v>
              </c:pt>
              <c:pt idx="228">
                <c:v>564782</c:v>
              </c:pt>
              <c:pt idx="229">
                <c:v>571367</c:v>
              </c:pt>
              <c:pt idx="230">
                <c:v>573149</c:v>
              </c:pt>
              <c:pt idx="231">
                <c:v>576579</c:v>
              </c:pt>
              <c:pt idx="232">
                <c:v>582043</c:v>
              </c:pt>
              <c:pt idx="233">
                <c:v>584367</c:v>
              </c:pt>
              <c:pt idx="234">
                <c:v>590393</c:v>
              </c:pt>
              <c:pt idx="235">
                <c:v>594775</c:v>
              </c:pt>
              <c:pt idx="236">
                <c:v>597020</c:v>
              </c:pt>
              <c:pt idx="237">
                <c:v>598542</c:v>
              </c:pt>
              <c:pt idx="238">
                <c:v>602883</c:v>
              </c:pt>
              <c:pt idx="239">
                <c:v>604726</c:v>
              </c:pt>
              <c:pt idx="240">
                <c:v>608257</c:v>
              </c:pt>
              <c:pt idx="241">
                <c:v>611850</c:v>
              </c:pt>
              <c:pt idx="242">
                <c:v>610510</c:v>
              </c:pt>
              <c:pt idx="243">
                <c:v>569344</c:v>
              </c:pt>
              <c:pt idx="244">
                <c:v>589128</c:v>
              </c:pt>
              <c:pt idx="245">
                <c:v>609184</c:v>
              </c:pt>
              <c:pt idx="246">
                <c:v>622355</c:v>
              </c:pt>
              <c:pt idx="247">
                <c:v>627461</c:v>
              </c:pt>
              <c:pt idx="248">
                <c:v>616714</c:v>
              </c:pt>
              <c:pt idx="249">
                <c:v>639091</c:v>
              </c:pt>
              <c:pt idx="250">
                <c:v>645027</c:v>
              </c:pt>
              <c:pt idx="251">
                <c:v>651417</c:v>
              </c:pt>
              <c:pt idx="252">
                <c:v>654547</c:v>
              </c:pt>
              <c:pt idx="253">
                <c:v>659948</c:v>
              </c:pt>
              <c:pt idx="254">
                <c:v>663102</c:v>
              </c:pt>
              <c:pt idx="255">
                <c:v>666120</c:v>
              </c:pt>
              <c:pt idx="256">
                <c:v>668806</c:v>
              </c:pt>
              <c:pt idx="257">
                <c:v>668754</c:v>
              </c:pt>
              <c:pt idx="258">
                <c:v>670388</c:v>
              </c:pt>
              <c:pt idx="259">
                <c:v>672076</c:v>
              </c:pt>
              <c:pt idx="260">
                <c:v>674130</c:v>
              </c:pt>
              <c:pt idx="261">
                <c:v>677077</c:v>
              </c:pt>
              <c:pt idx="262">
                <c:v>678840</c:v>
              </c:pt>
              <c:pt idx="263">
                <c:v>685416</c:v>
              </c:pt>
              <c:pt idx="264">
                <c:v>688034</c:v>
              </c:pt>
              <c:pt idx="265">
                <c:v>694041</c:v>
              </c:pt>
              <c:pt idx="266">
                <c:v>695945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3FA-1E4D-9266-FAD818781B40}"/>
            </c:ext>
          </c:extLst>
        </c:ser>
        <c:ser>
          <c:idx val="1"/>
          <c:order val="1"/>
          <c:tx>
            <c:v>Gross domestic product: Current prices ;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276"/>
              <c:pt idx="0">
                <c:v>21794</c:v>
              </c:pt>
              <c:pt idx="1">
                <c:v>21885</c:v>
              </c:pt>
              <c:pt idx="2">
                <c:v>21976</c:v>
              </c:pt>
              <c:pt idx="3">
                <c:v>22068</c:v>
              </c:pt>
              <c:pt idx="4">
                <c:v>22160</c:v>
              </c:pt>
              <c:pt idx="5">
                <c:v>22251</c:v>
              </c:pt>
              <c:pt idx="6">
                <c:v>22341</c:v>
              </c:pt>
              <c:pt idx="7">
                <c:v>22433</c:v>
              </c:pt>
              <c:pt idx="8">
                <c:v>22525</c:v>
              </c:pt>
              <c:pt idx="9">
                <c:v>22616</c:v>
              </c:pt>
              <c:pt idx="10">
                <c:v>22706</c:v>
              </c:pt>
              <c:pt idx="11">
                <c:v>22798</c:v>
              </c:pt>
              <c:pt idx="12">
                <c:v>22890</c:v>
              </c:pt>
              <c:pt idx="13">
                <c:v>22981</c:v>
              </c:pt>
              <c:pt idx="14">
                <c:v>23071</c:v>
              </c:pt>
              <c:pt idx="15">
                <c:v>23163</c:v>
              </c:pt>
              <c:pt idx="16">
                <c:v>23255</c:v>
              </c:pt>
              <c:pt idx="17">
                <c:v>23346</c:v>
              </c:pt>
              <c:pt idx="18">
                <c:v>23437</c:v>
              </c:pt>
              <c:pt idx="19">
                <c:v>23529</c:v>
              </c:pt>
              <c:pt idx="20">
                <c:v>23621</c:v>
              </c:pt>
              <c:pt idx="21">
                <c:v>23712</c:v>
              </c:pt>
              <c:pt idx="22">
                <c:v>23802</c:v>
              </c:pt>
              <c:pt idx="23">
                <c:v>23894</c:v>
              </c:pt>
              <c:pt idx="24">
                <c:v>23986</c:v>
              </c:pt>
              <c:pt idx="25">
                <c:v>24077</c:v>
              </c:pt>
              <c:pt idx="26">
                <c:v>24167</c:v>
              </c:pt>
              <c:pt idx="27">
                <c:v>24259</c:v>
              </c:pt>
              <c:pt idx="28">
                <c:v>24351</c:v>
              </c:pt>
              <c:pt idx="29">
                <c:v>24442</c:v>
              </c:pt>
              <c:pt idx="30">
                <c:v>24532</c:v>
              </c:pt>
              <c:pt idx="31">
                <c:v>24624</c:v>
              </c:pt>
              <c:pt idx="32">
                <c:v>24716</c:v>
              </c:pt>
              <c:pt idx="33">
                <c:v>24807</c:v>
              </c:pt>
              <c:pt idx="34">
                <c:v>24898</c:v>
              </c:pt>
              <c:pt idx="35">
                <c:v>24990</c:v>
              </c:pt>
              <c:pt idx="36">
                <c:v>25082</c:v>
              </c:pt>
              <c:pt idx="37">
                <c:v>25173</c:v>
              </c:pt>
              <c:pt idx="38">
                <c:v>25263</c:v>
              </c:pt>
              <c:pt idx="39">
                <c:v>25355</c:v>
              </c:pt>
              <c:pt idx="40">
                <c:v>25447</c:v>
              </c:pt>
              <c:pt idx="41">
                <c:v>25538</c:v>
              </c:pt>
              <c:pt idx="42">
                <c:v>25628</c:v>
              </c:pt>
              <c:pt idx="43">
                <c:v>25720</c:v>
              </c:pt>
              <c:pt idx="44">
                <c:v>25812</c:v>
              </c:pt>
              <c:pt idx="45">
                <c:v>25903</c:v>
              </c:pt>
              <c:pt idx="46">
                <c:v>25993</c:v>
              </c:pt>
              <c:pt idx="47">
                <c:v>26085</c:v>
              </c:pt>
              <c:pt idx="48">
                <c:v>26177</c:v>
              </c:pt>
              <c:pt idx="49">
                <c:v>26268</c:v>
              </c:pt>
              <c:pt idx="50">
                <c:v>26359</c:v>
              </c:pt>
              <c:pt idx="51">
                <c:v>26451</c:v>
              </c:pt>
              <c:pt idx="52">
                <c:v>26543</c:v>
              </c:pt>
              <c:pt idx="53">
                <c:v>26634</c:v>
              </c:pt>
              <c:pt idx="54">
                <c:v>26724</c:v>
              </c:pt>
              <c:pt idx="55">
                <c:v>26816</c:v>
              </c:pt>
              <c:pt idx="56">
                <c:v>26908</c:v>
              </c:pt>
              <c:pt idx="57">
                <c:v>26999</c:v>
              </c:pt>
              <c:pt idx="58">
                <c:v>27089</c:v>
              </c:pt>
              <c:pt idx="59">
                <c:v>27181</c:v>
              </c:pt>
              <c:pt idx="60">
                <c:v>27273</c:v>
              </c:pt>
              <c:pt idx="61">
                <c:v>27364</c:v>
              </c:pt>
              <c:pt idx="62">
                <c:v>27454</c:v>
              </c:pt>
              <c:pt idx="63">
                <c:v>27546</c:v>
              </c:pt>
              <c:pt idx="64">
                <c:v>27638</c:v>
              </c:pt>
              <c:pt idx="65">
                <c:v>27729</c:v>
              </c:pt>
              <c:pt idx="66">
                <c:v>27820</c:v>
              </c:pt>
              <c:pt idx="67">
                <c:v>27912</c:v>
              </c:pt>
              <c:pt idx="68">
                <c:v>28004</c:v>
              </c:pt>
              <c:pt idx="69">
                <c:v>28095</c:v>
              </c:pt>
              <c:pt idx="70">
                <c:v>28185</c:v>
              </c:pt>
              <c:pt idx="71">
                <c:v>28277</c:v>
              </c:pt>
              <c:pt idx="72">
                <c:v>28369</c:v>
              </c:pt>
              <c:pt idx="73">
                <c:v>28460</c:v>
              </c:pt>
              <c:pt idx="74">
                <c:v>28550</c:v>
              </c:pt>
              <c:pt idx="75">
                <c:v>28642</c:v>
              </c:pt>
              <c:pt idx="76">
                <c:v>28734</c:v>
              </c:pt>
              <c:pt idx="77">
                <c:v>28825</c:v>
              </c:pt>
              <c:pt idx="78">
                <c:v>28915</c:v>
              </c:pt>
              <c:pt idx="79">
                <c:v>29007</c:v>
              </c:pt>
              <c:pt idx="80">
                <c:v>29099</c:v>
              </c:pt>
              <c:pt idx="81">
                <c:v>29190</c:v>
              </c:pt>
              <c:pt idx="82">
                <c:v>29281</c:v>
              </c:pt>
              <c:pt idx="83">
                <c:v>29373</c:v>
              </c:pt>
              <c:pt idx="84">
                <c:v>29465</c:v>
              </c:pt>
              <c:pt idx="85">
                <c:v>29556</c:v>
              </c:pt>
              <c:pt idx="86">
                <c:v>29646</c:v>
              </c:pt>
              <c:pt idx="87">
                <c:v>29738</c:v>
              </c:pt>
              <c:pt idx="88">
                <c:v>29830</c:v>
              </c:pt>
              <c:pt idx="89">
                <c:v>29921</c:v>
              </c:pt>
              <c:pt idx="90">
                <c:v>30011</c:v>
              </c:pt>
              <c:pt idx="91">
                <c:v>30103</c:v>
              </c:pt>
              <c:pt idx="92">
                <c:v>30195</c:v>
              </c:pt>
              <c:pt idx="93">
                <c:v>30286</c:v>
              </c:pt>
              <c:pt idx="94">
                <c:v>30376</c:v>
              </c:pt>
              <c:pt idx="95">
                <c:v>30468</c:v>
              </c:pt>
              <c:pt idx="96">
                <c:v>30560</c:v>
              </c:pt>
              <c:pt idx="97">
                <c:v>30651</c:v>
              </c:pt>
              <c:pt idx="98">
                <c:v>30742</c:v>
              </c:pt>
              <c:pt idx="99">
                <c:v>30834</c:v>
              </c:pt>
              <c:pt idx="100">
                <c:v>30926</c:v>
              </c:pt>
              <c:pt idx="101">
                <c:v>31017</c:v>
              </c:pt>
              <c:pt idx="102">
                <c:v>31107</c:v>
              </c:pt>
              <c:pt idx="103">
                <c:v>31199</c:v>
              </c:pt>
              <c:pt idx="104">
                <c:v>31291</c:v>
              </c:pt>
              <c:pt idx="105">
                <c:v>31382</c:v>
              </c:pt>
              <c:pt idx="106">
                <c:v>31472</c:v>
              </c:pt>
              <c:pt idx="107">
                <c:v>31564</c:v>
              </c:pt>
              <c:pt idx="108">
                <c:v>31656</c:v>
              </c:pt>
              <c:pt idx="109">
                <c:v>31747</c:v>
              </c:pt>
              <c:pt idx="110">
                <c:v>31837</c:v>
              </c:pt>
              <c:pt idx="111">
                <c:v>31929</c:v>
              </c:pt>
              <c:pt idx="112">
                <c:v>32021</c:v>
              </c:pt>
              <c:pt idx="113">
                <c:v>32112</c:v>
              </c:pt>
              <c:pt idx="114">
                <c:v>32203</c:v>
              </c:pt>
              <c:pt idx="115">
                <c:v>32295</c:v>
              </c:pt>
              <c:pt idx="116">
                <c:v>32387</c:v>
              </c:pt>
              <c:pt idx="117">
                <c:v>32478</c:v>
              </c:pt>
              <c:pt idx="118">
                <c:v>32568</c:v>
              </c:pt>
              <c:pt idx="119">
                <c:v>32660</c:v>
              </c:pt>
              <c:pt idx="120">
                <c:v>32752</c:v>
              </c:pt>
              <c:pt idx="121">
                <c:v>32843</c:v>
              </c:pt>
              <c:pt idx="122">
                <c:v>32933</c:v>
              </c:pt>
              <c:pt idx="123">
                <c:v>33025</c:v>
              </c:pt>
              <c:pt idx="124">
                <c:v>33117</c:v>
              </c:pt>
              <c:pt idx="125">
                <c:v>33208</c:v>
              </c:pt>
              <c:pt idx="126">
                <c:v>33298</c:v>
              </c:pt>
              <c:pt idx="127">
                <c:v>33390</c:v>
              </c:pt>
              <c:pt idx="128">
                <c:v>33482</c:v>
              </c:pt>
              <c:pt idx="129">
                <c:v>33573</c:v>
              </c:pt>
              <c:pt idx="130">
                <c:v>33664</c:v>
              </c:pt>
              <c:pt idx="131">
                <c:v>33756</c:v>
              </c:pt>
              <c:pt idx="132">
                <c:v>33848</c:v>
              </c:pt>
              <c:pt idx="133">
                <c:v>33939</c:v>
              </c:pt>
              <c:pt idx="134">
                <c:v>34029</c:v>
              </c:pt>
              <c:pt idx="135">
                <c:v>34121</c:v>
              </c:pt>
              <c:pt idx="136">
                <c:v>34213</c:v>
              </c:pt>
              <c:pt idx="137">
                <c:v>34304</c:v>
              </c:pt>
              <c:pt idx="138">
                <c:v>34394</c:v>
              </c:pt>
              <c:pt idx="139">
                <c:v>34486</c:v>
              </c:pt>
              <c:pt idx="140">
                <c:v>34578</c:v>
              </c:pt>
              <c:pt idx="141">
                <c:v>34669</c:v>
              </c:pt>
              <c:pt idx="142">
                <c:v>34759</c:v>
              </c:pt>
              <c:pt idx="143">
                <c:v>34851</c:v>
              </c:pt>
              <c:pt idx="144">
                <c:v>34943</c:v>
              </c:pt>
              <c:pt idx="145">
                <c:v>35034</c:v>
              </c:pt>
              <c:pt idx="146">
                <c:v>35125</c:v>
              </c:pt>
              <c:pt idx="147">
                <c:v>35217</c:v>
              </c:pt>
              <c:pt idx="148">
                <c:v>35309</c:v>
              </c:pt>
              <c:pt idx="149">
                <c:v>35400</c:v>
              </c:pt>
              <c:pt idx="150">
                <c:v>35490</c:v>
              </c:pt>
              <c:pt idx="151">
                <c:v>35582</c:v>
              </c:pt>
              <c:pt idx="152">
                <c:v>35674</c:v>
              </c:pt>
              <c:pt idx="153">
                <c:v>35765</c:v>
              </c:pt>
              <c:pt idx="154">
                <c:v>35855</c:v>
              </c:pt>
              <c:pt idx="155">
                <c:v>35947</c:v>
              </c:pt>
              <c:pt idx="156">
                <c:v>36039</c:v>
              </c:pt>
              <c:pt idx="157">
                <c:v>36130</c:v>
              </c:pt>
              <c:pt idx="158">
                <c:v>36220</c:v>
              </c:pt>
              <c:pt idx="159">
                <c:v>36312</c:v>
              </c:pt>
              <c:pt idx="160">
                <c:v>36404</c:v>
              </c:pt>
              <c:pt idx="161">
                <c:v>36495</c:v>
              </c:pt>
              <c:pt idx="162">
                <c:v>36586</c:v>
              </c:pt>
              <c:pt idx="163">
                <c:v>36678</c:v>
              </c:pt>
              <c:pt idx="164">
                <c:v>36770</c:v>
              </c:pt>
              <c:pt idx="165">
                <c:v>36861</c:v>
              </c:pt>
              <c:pt idx="166">
                <c:v>36951</c:v>
              </c:pt>
              <c:pt idx="167">
                <c:v>37043</c:v>
              </c:pt>
              <c:pt idx="168">
                <c:v>37135</c:v>
              </c:pt>
              <c:pt idx="169">
                <c:v>37226</c:v>
              </c:pt>
              <c:pt idx="170">
                <c:v>37316</c:v>
              </c:pt>
              <c:pt idx="171">
                <c:v>37408</c:v>
              </c:pt>
              <c:pt idx="172">
                <c:v>37500</c:v>
              </c:pt>
              <c:pt idx="173">
                <c:v>37591</c:v>
              </c:pt>
              <c:pt idx="174">
                <c:v>37681</c:v>
              </c:pt>
              <c:pt idx="175">
                <c:v>37773</c:v>
              </c:pt>
              <c:pt idx="176">
                <c:v>37865</c:v>
              </c:pt>
              <c:pt idx="177">
                <c:v>37956</c:v>
              </c:pt>
              <c:pt idx="178">
                <c:v>38047</c:v>
              </c:pt>
              <c:pt idx="179">
                <c:v>38139</c:v>
              </c:pt>
              <c:pt idx="180">
                <c:v>38231</c:v>
              </c:pt>
              <c:pt idx="181">
                <c:v>38322</c:v>
              </c:pt>
              <c:pt idx="182">
                <c:v>38412</c:v>
              </c:pt>
              <c:pt idx="183">
                <c:v>38504</c:v>
              </c:pt>
              <c:pt idx="184">
                <c:v>38596</c:v>
              </c:pt>
              <c:pt idx="185">
                <c:v>38687</c:v>
              </c:pt>
              <c:pt idx="186">
                <c:v>38777</c:v>
              </c:pt>
              <c:pt idx="187">
                <c:v>38869</c:v>
              </c:pt>
              <c:pt idx="188">
                <c:v>38961</c:v>
              </c:pt>
              <c:pt idx="189">
                <c:v>39052</c:v>
              </c:pt>
              <c:pt idx="190">
                <c:v>39142</c:v>
              </c:pt>
              <c:pt idx="191">
                <c:v>39234</c:v>
              </c:pt>
              <c:pt idx="192">
                <c:v>39326</c:v>
              </c:pt>
              <c:pt idx="193">
                <c:v>39417</c:v>
              </c:pt>
              <c:pt idx="194">
                <c:v>39508</c:v>
              </c:pt>
              <c:pt idx="195">
                <c:v>39600</c:v>
              </c:pt>
              <c:pt idx="196">
                <c:v>39692</c:v>
              </c:pt>
              <c:pt idx="197">
                <c:v>39783</c:v>
              </c:pt>
              <c:pt idx="198">
                <c:v>39873</c:v>
              </c:pt>
              <c:pt idx="199">
                <c:v>39965</c:v>
              </c:pt>
              <c:pt idx="200">
                <c:v>40057</c:v>
              </c:pt>
              <c:pt idx="201">
                <c:v>40148</c:v>
              </c:pt>
              <c:pt idx="202">
                <c:v>40238</c:v>
              </c:pt>
              <c:pt idx="203">
                <c:v>40330</c:v>
              </c:pt>
              <c:pt idx="204">
                <c:v>40422</c:v>
              </c:pt>
              <c:pt idx="205">
                <c:v>40513</c:v>
              </c:pt>
              <c:pt idx="206">
                <c:v>40603</c:v>
              </c:pt>
              <c:pt idx="207">
                <c:v>40695</c:v>
              </c:pt>
              <c:pt idx="208">
                <c:v>40787</c:v>
              </c:pt>
              <c:pt idx="209">
                <c:v>40878</c:v>
              </c:pt>
              <c:pt idx="210">
                <c:v>40969</c:v>
              </c:pt>
              <c:pt idx="211">
                <c:v>41061</c:v>
              </c:pt>
              <c:pt idx="212">
                <c:v>41153</c:v>
              </c:pt>
              <c:pt idx="213">
                <c:v>41244</c:v>
              </c:pt>
              <c:pt idx="214">
                <c:v>41334</c:v>
              </c:pt>
              <c:pt idx="215">
                <c:v>41426</c:v>
              </c:pt>
              <c:pt idx="216">
                <c:v>41518</c:v>
              </c:pt>
              <c:pt idx="217">
                <c:v>41609</c:v>
              </c:pt>
              <c:pt idx="218">
                <c:v>41699</c:v>
              </c:pt>
              <c:pt idx="219">
                <c:v>41791</c:v>
              </c:pt>
              <c:pt idx="220">
                <c:v>41883</c:v>
              </c:pt>
              <c:pt idx="221">
                <c:v>41974</c:v>
              </c:pt>
              <c:pt idx="222">
                <c:v>42064</c:v>
              </c:pt>
              <c:pt idx="223">
                <c:v>42156</c:v>
              </c:pt>
              <c:pt idx="224">
                <c:v>42248</c:v>
              </c:pt>
              <c:pt idx="225">
                <c:v>42339</c:v>
              </c:pt>
              <c:pt idx="226">
                <c:v>42430</c:v>
              </c:pt>
              <c:pt idx="227">
                <c:v>42522</c:v>
              </c:pt>
              <c:pt idx="228">
                <c:v>42614</c:v>
              </c:pt>
              <c:pt idx="229">
                <c:v>42705</c:v>
              </c:pt>
              <c:pt idx="230">
                <c:v>42795</c:v>
              </c:pt>
              <c:pt idx="231">
                <c:v>42887</c:v>
              </c:pt>
              <c:pt idx="232">
                <c:v>42979</c:v>
              </c:pt>
              <c:pt idx="233">
                <c:v>43070</c:v>
              </c:pt>
              <c:pt idx="234">
                <c:v>43160</c:v>
              </c:pt>
              <c:pt idx="235">
                <c:v>43252</c:v>
              </c:pt>
              <c:pt idx="236">
                <c:v>43344</c:v>
              </c:pt>
              <c:pt idx="237">
                <c:v>43435</c:v>
              </c:pt>
              <c:pt idx="238">
                <c:v>43525</c:v>
              </c:pt>
              <c:pt idx="239">
                <c:v>43617</c:v>
              </c:pt>
              <c:pt idx="240">
                <c:v>43709</c:v>
              </c:pt>
              <c:pt idx="241">
                <c:v>43800</c:v>
              </c:pt>
              <c:pt idx="242">
                <c:v>43891</c:v>
              </c:pt>
              <c:pt idx="243">
                <c:v>43983</c:v>
              </c:pt>
              <c:pt idx="244">
                <c:v>44075</c:v>
              </c:pt>
              <c:pt idx="245">
                <c:v>44166</c:v>
              </c:pt>
              <c:pt idx="246">
                <c:v>44256</c:v>
              </c:pt>
              <c:pt idx="247">
                <c:v>44348</c:v>
              </c:pt>
              <c:pt idx="248">
                <c:v>44440</c:v>
              </c:pt>
              <c:pt idx="249">
                <c:v>44531</c:v>
              </c:pt>
              <c:pt idx="250">
                <c:v>44621</c:v>
              </c:pt>
              <c:pt idx="251">
                <c:v>44713</c:v>
              </c:pt>
              <c:pt idx="252">
                <c:v>44805</c:v>
              </c:pt>
              <c:pt idx="253">
                <c:v>44896</c:v>
              </c:pt>
              <c:pt idx="254">
                <c:v>44986</c:v>
              </c:pt>
              <c:pt idx="255">
                <c:v>45078</c:v>
              </c:pt>
              <c:pt idx="256">
                <c:v>45170</c:v>
              </c:pt>
              <c:pt idx="257">
                <c:v>45261</c:v>
              </c:pt>
              <c:pt idx="258">
                <c:v>45352</c:v>
              </c:pt>
              <c:pt idx="259">
                <c:v>45444</c:v>
              </c:pt>
              <c:pt idx="260">
                <c:v>45536</c:v>
              </c:pt>
              <c:pt idx="261">
                <c:v>45627</c:v>
              </c:pt>
              <c:pt idx="262">
                <c:v>45717</c:v>
              </c:pt>
              <c:pt idx="263">
                <c:v>45809</c:v>
              </c:pt>
              <c:pt idx="264">
                <c:v>45901</c:v>
              </c:pt>
              <c:pt idx="265">
                <c:v>45992</c:v>
              </c:pt>
              <c:pt idx="266">
                <c:v>46082</c:v>
              </c:pt>
            </c:numLit>
          </c:cat>
          <c:val>
            <c:numLit>
              <c:formatCode>General</c:formatCode>
              <c:ptCount val="276"/>
              <c:pt idx="0">
                <c:v>3978</c:v>
              </c:pt>
              <c:pt idx="1">
                <c:v>4094</c:v>
              </c:pt>
              <c:pt idx="2">
                <c:v>4173</c:v>
              </c:pt>
              <c:pt idx="3">
                <c:v>4385</c:v>
              </c:pt>
              <c:pt idx="4">
                <c:v>4407</c:v>
              </c:pt>
              <c:pt idx="5">
                <c:v>4435</c:v>
              </c:pt>
              <c:pt idx="6">
                <c:v>4427</c:v>
              </c:pt>
              <c:pt idx="7">
                <c:v>4329</c:v>
              </c:pt>
              <c:pt idx="8">
                <c:v>4337</c:v>
              </c:pt>
              <c:pt idx="9">
                <c:v>4374</c:v>
              </c:pt>
              <c:pt idx="10">
                <c:v>4505</c:v>
              </c:pt>
              <c:pt idx="11">
                <c:v>4602</c:v>
              </c:pt>
              <c:pt idx="12">
                <c:v>4659</c:v>
              </c:pt>
              <c:pt idx="13">
                <c:v>4789</c:v>
              </c:pt>
              <c:pt idx="14">
                <c:v>4933</c:v>
              </c:pt>
              <c:pt idx="15">
                <c:v>4897</c:v>
              </c:pt>
              <c:pt idx="16">
                <c:v>5158</c:v>
              </c:pt>
              <c:pt idx="17">
                <c:v>5265</c:v>
              </c:pt>
              <c:pt idx="18">
                <c:v>5327</c:v>
              </c:pt>
              <c:pt idx="19">
                <c:v>5509</c:v>
              </c:pt>
              <c:pt idx="20">
                <c:v>5593</c:v>
              </c:pt>
              <c:pt idx="21">
                <c:v>5773</c:v>
              </c:pt>
              <c:pt idx="22">
                <c:v>5860</c:v>
              </c:pt>
              <c:pt idx="23">
                <c:v>5974</c:v>
              </c:pt>
              <c:pt idx="24">
                <c:v>5994</c:v>
              </c:pt>
              <c:pt idx="25">
                <c:v>6066</c:v>
              </c:pt>
              <c:pt idx="26">
                <c:v>6101</c:v>
              </c:pt>
              <c:pt idx="27">
                <c:v>6260</c:v>
              </c:pt>
              <c:pt idx="28">
                <c:v>6546</c:v>
              </c:pt>
              <c:pt idx="29">
                <c:v>6711</c:v>
              </c:pt>
              <c:pt idx="30">
                <c:v>6948</c:v>
              </c:pt>
              <c:pt idx="31">
                <c:v>6998</c:v>
              </c:pt>
              <c:pt idx="32">
                <c:v>7105</c:v>
              </c:pt>
              <c:pt idx="33">
                <c:v>7246</c:v>
              </c:pt>
              <c:pt idx="34">
                <c:v>7356</c:v>
              </c:pt>
              <c:pt idx="35">
                <c:v>7543</c:v>
              </c:pt>
              <c:pt idx="36">
                <c:v>7767</c:v>
              </c:pt>
              <c:pt idx="37">
                <c:v>8181</c:v>
              </c:pt>
              <c:pt idx="38">
                <c:v>8295</c:v>
              </c:pt>
              <c:pt idx="39">
                <c:v>8558</c:v>
              </c:pt>
              <c:pt idx="40">
                <c:v>8870</c:v>
              </c:pt>
              <c:pt idx="41">
                <c:v>9087</c:v>
              </c:pt>
              <c:pt idx="42">
                <c:v>9311</c:v>
              </c:pt>
              <c:pt idx="43">
                <c:v>9670</c:v>
              </c:pt>
              <c:pt idx="44">
                <c:v>9732</c:v>
              </c:pt>
              <c:pt idx="45">
                <c:v>9896</c:v>
              </c:pt>
              <c:pt idx="46">
                <c:v>10276</c:v>
              </c:pt>
              <c:pt idx="47">
                <c:v>10509</c:v>
              </c:pt>
              <c:pt idx="48">
                <c:v>10918</c:v>
              </c:pt>
              <c:pt idx="49">
                <c:v>10934</c:v>
              </c:pt>
              <c:pt idx="50">
                <c:v>11135</c:v>
              </c:pt>
              <c:pt idx="51">
                <c:v>11558</c:v>
              </c:pt>
              <c:pt idx="52">
                <c:v>11719</c:v>
              </c:pt>
              <c:pt idx="53">
                <c:v>12108</c:v>
              </c:pt>
              <c:pt idx="54">
                <c:v>12714</c:v>
              </c:pt>
              <c:pt idx="55">
                <c:v>13311</c:v>
              </c:pt>
              <c:pt idx="56">
                <c:v>14057</c:v>
              </c:pt>
              <c:pt idx="57">
                <c:v>14990</c:v>
              </c:pt>
              <c:pt idx="58">
                <c:v>15519</c:v>
              </c:pt>
              <c:pt idx="59">
                <c:v>15789</c:v>
              </c:pt>
              <c:pt idx="60">
                <c:v>16776</c:v>
              </c:pt>
              <c:pt idx="61">
                <c:v>17672</c:v>
              </c:pt>
              <c:pt idx="62">
                <c:v>18024</c:v>
              </c:pt>
              <c:pt idx="63">
                <c:v>18857</c:v>
              </c:pt>
              <c:pt idx="64">
                <c:v>19430</c:v>
              </c:pt>
              <c:pt idx="65">
                <c:v>20367</c:v>
              </c:pt>
              <c:pt idx="66">
                <c:v>21333</c:v>
              </c:pt>
              <c:pt idx="67">
                <c:v>22271</c:v>
              </c:pt>
              <c:pt idx="68">
                <c:v>23048</c:v>
              </c:pt>
              <c:pt idx="69">
                <c:v>23782</c:v>
              </c:pt>
              <c:pt idx="70">
                <c:v>24313</c:v>
              </c:pt>
              <c:pt idx="71">
                <c:v>25138</c:v>
              </c:pt>
              <c:pt idx="72">
                <c:v>25478</c:v>
              </c:pt>
              <c:pt idx="73">
                <c:v>25766</c:v>
              </c:pt>
              <c:pt idx="74">
                <c:v>26614</c:v>
              </c:pt>
              <c:pt idx="75">
                <c:v>27411</c:v>
              </c:pt>
              <c:pt idx="76">
                <c:v>28331</c:v>
              </c:pt>
              <c:pt idx="77">
                <c:v>29076</c:v>
              </c:pt>
              <c:pt idx="78">
                <c:v>30536</c:v>
              </c:pt>
              <c:pt idx="79">
                <c:v>31004</c:v>
              </c:pt>
              <c:pt idx="80">
                <c:v>32077</c:v>
              </c:pt>
              <c:pt idx="81">
                <c:v>33358</c:v>
              </c:pt>
              <c:pt idx="82">
                <c:v>34269</c:v>
              </c:pt>
              <c:pt idx="83">
                <c:v>35041</c:v>
              </c:pt>
              <c:pt idx="84">
                <c:v>36201</c:v>
              </c:pt>
              <c:pt idx="85">
                <c:v>37859</c:v>
              </c:pt>
              <c:pt idx="86">
                <c:v>38611</c:v>
              </c:pt>
              <c:pt idx="87">
                <c:v>40046</c:v>
              </c:pt>
              <c:pt idx="88">
                <c:v>42221</c:v>
              </c:pt>
              <c:pt idx="89">
                <c:v>43420</c:v>
              </c:pt>
              <c:pt idx="90">
                <c:v>44349</c:v>
              </c:pt>
              <c:pt idx="91">
                <c:v>46042</c:v>
              </c:pt>
              <c:pt idx="92">
                <c:v>46626</c:v>
              </c:pt>
              <c:pt idx="93">
                <c:v>47352</c:v>
              </c:pt>
              <c:pt idx="94">
                <c:v>47763</c:v>
              </c:pt>
              <c:pt idx="95">
                <c:v>48277</c:v>
              </c:pt>
              <c:pt idx="96">
                <c:v>51061</c:v>
              </c:pt>
              <c:pt idx="97">
                <c:v>52471</c:v>
              </c:pt>
              <c:pt idx="98">
                <c:v>54634</c:v>
              </c:pt>
              <c:pt idx="99">
                <c:v>55882</c:v>
              </c:pt>
              <c:pt idx="100">
                <c:v>56555</c:v>
              </c:pt>
              <c:pt idx="101">
                <c:v>57490</c:v>
              </c:pt>
              <c:pt idx="102">
                <c:v>59695</c:v>
              </c:pt>
              <c:pt idx="103">
                <c:v>62029</c:v>
              </c:pt>
              <c:pt idx="104">
                <c:v>63472</c:v>
              </c:pt>
              <c:pt idx="105">
                <c:v>64706</c:v>
              </c:pt>
              <c:pt idx="106">
                <c:v>65929</c:v>
              </c:pt>
              <c:pt idx="107">
                <c:v>67111</c:v>
              </c:pt>
              <c:pt idx="108">
                <c:v>68346</c:v>
              </c:pt>
              <c:pt idx="109">
                <c:v>70633</c:v>
              </c:pt>
              <c:pt idx="110">
                <c:v>72426</c:v>
              </c:pt>
              <c:pt idx="111">
                <c:v>75160</c:v>
              </c:pt>
              <c:pt idx="112">
                <c:v>77563</c:v>
              </c:pt>
              <c:pt idx="113">
                <c:v>79892</c:v>
              </c:pt>
              <c:pt idx="114">
                <c:v>82779</c:v>
              </c:pt>
              <c:pt idx="115">
                <c:v>84834</c:v>
              </c:pt>
              <c:pt idx="116">
                <c:v>87856</c:v>
              </c:pt>
              <c:pt idx="117">
                <c:v>90712</c:v>
              </c:pt>
              <c:pt idx="118">
                <c:v>93344</c:v>
              </c:pt>
              <c:pt idx="119">
                <c:v>96972</c:v>
              </c:pt>
              <c:pt idx="120">
                <c:v>98845</c:v>
              </c:pt>
              <c:pt idx="121">
                <c:v>100574</c:v>
              </c:pt>
              <c:pt idx="122">
                <c:v>102413</c:v>
              </c:pt>
              <c:pt idx="123">
                <c:v>104356</c:v>
              </c:pt>
              <c:pt idx="124">
                <c:v>103747</c:v>
              </c:pt>
              <c:pt idx="125">
                <c:v>104984</c:v>
              </c:pt>
              <c:pt idx="126">
                <c:v>103579</c:v>
              </c:pt>
              <c:pt idx="127">
                <c:v>103653</c:v>
              </c:pt>
              <c:pt idx="128">
                <c:v>104414</c:v>
              </c:pt>
              <c:pt idx="129">
                <c:v>105384</c:v>
              </c:pt>
              <c:pt idx="130">
                <c:v>106904</c:v>
              </c:pt>
              <c:pt idx="131">
                <c:v>107315</c:v>
              </c:pt>
              <c:pt idx="132">
                <c:v>108347</c:v>
              </c:pt>
              <c:pt idx="133">
                <c:v>110535</c:v>
              </c:pt>
              <c:pt idx="134">
                <c:v>112418</c:v>
              </c:pt>
              <c:pt idx="135">
                <c:v>113574</c:v>
              </c:pt>
              <c:pt idx="136">
                <c:v>113419</c:v>
              </c:pt>
              <c:pt idx="137">
                <c:v>115809</c:v>
              </c:pt>
              <c:pt idx="138">
                <c:v>118169</c:v>
              </c:pt>
              <c:pt idx="139">
                <c:v>119694</c:v>
              </c:pt>
              <c:pt idx="140">
                <c:v>123230</c:v>
              </c:pt>
              <c:pt idx="141">
                <c:v>122598</c:v>
              </c:pt>
              <c:pt idx="142">
                <c:v>124763</c:v>
              </c:pt>
              <c:pt idx="143">
                <c:v>126466</c:v>
              </c:pt>
              <c:pt idx="144">
                <c:v>129185</c:v>
              </c:pt>
              <c:pt idx="145">
                <c:v>131785</c:v>
              </c:pt>
              <c:pt idx="146">
                <c:v>133409</c:v>
              </c:pt>
              <c:pt idx="147">
                <c:v>135523</c:v>
              </c:pt>
              <c:pt idx="148">
                <c:v>136171</c:v>
              </c:pt>
              <c:pt idx="149">
                <c:v>138135</c:v>
              </c:pt>
              <c:pt idx="150">
                <c:v>139429</c:v>
              </c:pt>
              <c:pt idx="151">
                <c:v>142988</c:v>
              </c:pt>
              <c:pt idx="152">
                <c:v>143892</c:v>
              </c:pt>
              <c:pt idx="153">
                <c:v>147721</c:v>
              </c:pt>
              <c:pt idx="154">
                <c:v>148837</c:v>
              </c:pt>
              <c:pt idx="155">
                <c:v>150050</c:v>
              </c:pt>
              <c:pt idx="156">
                <c:v>152688</c:v>
              </c:pt>
              <c:pt idx="157">
                <c:v>155604</c:v>
              </c:pt>
              <c:pt idx="158">
                <c:v>157062</c:v>
              </c:pt>
              <c:pt idx="159">
                <c:v>157994</c:v>
              </c:pt>
              <c:pt idx="160">
                <c:v>160793</c:v>
              </c:pt>
              <c:pt idx="161">
                <c:v>163672</c:v>
              </c:pt>
              <c:pt idx="162">
                <c:v>168608</c:v>
              </c:pt>
              <c:pt idx="163">
                <c:v>170857</c:v>
              </c:pt>
              <c:pt idx="164">
                <c:v>175080</c:v>
              </c:pt>
              <c:pt idx="165">
                <c:v>174197</c:v>
              </c:pt>
              <c:pt idx="166">
                <c:v>179072</c:v>
              </c:pt>
              <c:pt idx="167">
                <c:v>180917</c:v>
              </c:pt>
              <c:pt idx="168">
                <c:v>184647</c:v>
              </c:pt>
              <c:pt idx="169">
                <c:v>187133</c:v>
              </c:pt>
              <c:pt idx="170">
                <c:v>191286</c:v>
              </c:pt>
              <c:pt idx="171">
                <c:v>194598</c:v>
              </c:pt>
              <c:pt idx="172">
                <c:v>197262</c:v>
              </c:pt>
              <c:pt idx="173">
                <c:v>200533</c:v>
              </c:pt>
              <c:pt idx="174">
                <c:v>202726</c:v>
              </c:pt>
              <c:pt idx="175">
                <c:v>204700</c:v>
              </c:pt>
              <c:pt idx="176">
                <c:v>209422</c:v>
              </c:pt>
              <c:pt idx="177">
                <c:v>214673</c:v>
              </c:pt>
              <c:pt idx="178">
                <c:v>218833</c:v>
              </c:pt>
              <c:pt idx="179">
                <c:v>222271</c:v>
              </c:pt>
              <c:pt idx="180">
                <c:v>225362</c:v>
              </c:pt>
              <c:pt idx="181">
                <c:v>229295</c:v>
              </c:pt>
              <c:pt idx="182">
                <c:v>233631</c:v>
              </c:pt>
              <c:pt idx="183">
                <c:v>238560</c:v>
              </c:pt>
              <c:pt idx="184">
                <c:v>244095</c:v>
              </c:pt>
              <c:pt idx="185">
                <c:v>249501</c:v>
              </c:pt>
              <c:pt idx="186">
                <c:v>252482</c:v>
              </c:pt>
              <c:pt idx="187">
                <c:v>255787</c:v>
              </c:pt>
              <c:pt idx="188">
                <c:v>263275</c:v>
              </c:pt>
              <c:pt idx="189">
                <c:v>270302</c:v>
              </c:pt>
              <c:pt idx="190">
                <c:v>277175</c:v>
              </c:pt>
              <c:pt idx="191">
                <c:v>281231</c:v>
              </c:pt>
              <c:pt idx="192">
                <c:v>285703</c:v>
              </c:pt>
              <c:pt idx="193">
                <c:v>291102</c:v>
              </c:pt>
              <c:pt idx="194">
                <c:v>298851</c:v>
              </c:pt>
              <c:pt idx="195">
                <c:v>306615</c:v>
              </c:pt>
              <c:pt idx="196">
                <c:v>316397</c:v>
              </c:pt>
              <c:pt idx="197">
                <c:v>316940</c:v>
              </c:pt>
              <c:pt idx="198">
                <c:v>318421</c:v>
              </c:pt>
              <c:pt idx="199">
                <c:v>313814</c:v>
              </c:pt>
              <c:pt idx="200">
                <c:v>314857</c:v>
              </c:pt>
              <c:pt idx="201">
                <c:v>321978</c:v>
              </c:pt>
              <c:pt idx="202">
                <c:v>329458</c:v>
              </c:pt>
              <c:pt idx="203">
                <c:v>341052</c:v>
              </c:pt>
              <c:pt idx="204">
                <c:v>346004</c:v>
              </c:pt>
              <c:pt idx="205">
                <c:v>352107</c:v>
              </c:pt>
              <c:pt idx="206">
                <c:v>358017</c:v>
              </c:pt>
              <c:pt idx="207">
                <c:v>366941</c:v>
              </c:pt>
              <c:pt idx="208">
                <c:v>373550</c:v>
              </c:pt>
              <c:pt idx="209">
                <c:v>374487</c:v>
              </c:pt>
              <c:pt idx="210">
                <c:v>375468</c:v>
              </c:pt>
              <c:pt idx="211">
                <c:v>380785</c:v>
              </c:pt>
              <c:pt idx="212">
                <c:v>381809</c:v>
              </c:pt>
              <c:pt idx="213">
                <c:v>383401</c:v>
              </c:pt>
              <c:pt idx="214">
                <c:v>387295</c:v>
              </c:pt>
              <c:pt idx="215">
                <c:v>391610</c:v>
              </c:pt>
              <c:pt idx="216">
                <c:v>395715</c:v>
              </c:pt>
              <c:pt idx="217">
                <c:v>401762</c:v>
              </c:pt>
              <c:pt idx="218">
                <c:v>405004</c:v>
              </c:pt>
              <c:pt idx="219">
                <c:v>404524</c:v>
              </c:pt>
              <c:pt idx="220">
                <c:v>404381</c:v>
              </c:pt>
              <c:pt idx="221">
                <c:v>406897</c:v>
              </c:pt>
              <c:pt idx="222">
                <c:v>409875</c:v>
              </c:pt>
              <c:pt idx="223">
                <c:v>408977</c:v>
              </c:pt>
              <c:pt idx="224">
                <c:v>413525</c:v>
              </c:pt>
              <c:pt idx="225">
                <c:v>413706</c:v>
              </c:pt>
              <c:pt idx="226">
                <c:v>416081</c:v>
              </c:pt>
              <c:pt idx="227">
                <c:v>420973</c:v>
              </c:pt>
              <c:pt idx="228">
                <c:v>426421</c:v>
              </c:pt>
              <c:pt idx="229">
                <c:v>440621</c:v>
              </c:pt>
              <c:pt idx="230">
                <c:v>448531</c:v>
              </c:pt>
              <c:pt idx="231">
                <c:v>448464</c:v>
              </c:pt>
              <c:pt idx="232">
                <c:v>454276</c:v>
              </c:pt>
              <c:pt idx="233">
                <c:v>456786</c:v>
              </c:pt>
              <c:pt idx="234">
                <c:v>465769</c:v>
              </c:pt>
              <c:pt idx="235">
                <c:v>472054</c:v>
              </c:pt>
              <c:pt idx="236">
                <c:v>479421</c:v>
              </c:pt>
              <c:pt idx="237">
                <c:v>484269</c:v>
              </c:pt>
              <c:pt idx="238">
                <c:v>491654</c:v>
              </c:pt>
              <c:pt idx="239">
                <c:v>499205</c:v>
              </c:pt>
              <c:pt idx="240">
                <c:v>505886</c:v>
              </c:pt>
              <c:pt idx="241">
                <c:v>504896</c:v>
              </c:pt>
              <c:pt idx="242">
                <c:v>506568</c:v>
              </c:pt>
              <c:pt idx="243">
                <c:v>470138</c:v>
              </c:pt>
              <c:pt idx="244">
                <c:v>490232</c:v>
              </c:pt>
              <c:pt idx="245">
                <c:v>512567</c:v>
              </c:pt>
              <c:pt idx="246">
                <c:v>533982</c:v>
              </c:pt>
              <c:pt idx="247">
                <c:v>553501</c:v>
              </c:pt>
              <c:pt idx="248">
                <c:v>551378</c:v>
              </c:pt>
              <c:pt idx="249">
                <c:v>569472</c:v>
              </c:pt>
              <c:pt idx="250">
                <c:v>595061</c:v>
              </c:pt>
              <c:pt idx="251">
                <c:v>623700</c:v>
              </c:pt>
              <c:pt idx="252">
                <c:v>632064</c:v>
              </c:pt>
              <c:pt idx="253">
                <c:v>640361</c:v>
              </c:pt>
              <c:pt idx="254">
                <c:v>652785</c:v>
              </c:pt>
              <c:pt idx="255">
                <c:v>650898</c:v>
              </c:pt>
              <c:pt idx="256">
                <c:v>658811</c:v>
              </c:pt>
              <c:pt idx="257">
                <c:v>667256</c:v>
              </c:pt>
              <c:pt idx="258">
                <c:v>676050</c:v>
              </c:pt>
              <c:pt idx="259">
                <c:v>678357</c:v>
              </c:pt>
              <c:pt idx="260">
                <c:v>681417</c:v>
              </c:pt>
              <c:pt idx="261">
                <c:v>690352</c:v>
              </c:pt>
              <c:pt idx="262">
                <c:v>699362</c:v>
              </c:pt>
              <c:pt idx="263">
                <c:v>705111</c:v>
              </c:pt>
              <c:pt idx="264">
                <c:v>717850</c:v>
              </c:pt>
              <c:pt idx="265">
                <c:v>732408</c:v>
              </c:pt>
              <c:pt idx="266">
                <c:v>736601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73FA-1E4D-9266-FAD818781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839487"/>
        <c:axId val="98834559"/>
      </c:lineChart>
      <c:catAx>
        <c:axId val="988394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34559"/>
        <c:crosses val="autoZero"/>
        <c:auto val="1"/>
        <c:lblAlgn val="ctr"/>
        <c:lblOffset val="100"/>
        <c:noMultiLvlLbl val="1"/>
      </c:catAx>
      <c:valAx>
        <c:axId val="9883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3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Gross domestic product: Current prices ;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267"/>
              <c:pt idx="0">
                <c:v>21794</c:v>
              </c:pt>
              <c:pt idx="1">
                <c:v>21885</c:v>
              </c:pt>
              <c:pt idx="2">
                <c:v>21976</c:v>
              </c:pt>
              <c:pt idx="3">
                <c:v>22068</c:v>
              </c:pt>
              <c:pt idx="4">
                <c:v>22160</c:v>
              </c:pt>
              <c:pt idx="5">
                <c:v>22251</c:v>
              </c:pt>
              <c:pt idx="6">
                <c:v>22341</c:v>
              </c:pt>
              <c:pt idx="7">
                <c:v>22433</c:v>
              </c:pt>
              <c:pt idx="8">
                <c:v>22525</c:v>
              </c:pt>
              <c:pt idx="9">
                <c:v>22616</c:v>
              </c:pt>
              <c:pt idx="10">
                <c:v>22706</c:v>
              </c:pt>
              <c:pt idx="11">
                <c:v>22798</c:v>
              </c:pt>
              <c:pt idx="12">
                <c:v>22890</c:v>
              </c:pt>
              <c:pt idx="13">
                <c:v>22981</c:v>
              </c:pt>
              <c:pt idx="14">
                <c:v>23071</c:v>
              </c:pt>
              <c:pt idx="15">
                <c:v>23163</c:v>
              </c:pt>
              <c:pt idx="16">
                <c:v>23255</c:v>
              </c:pt>
              <c:pt idx="17">
                <c:v>23346</c:v>
              </c:pt>
              <c:pt idx="18">
                <c:v>23437</c:v>
              </c:pt>
              <c:pt idx="19">
                <c:v>23529</c:v>
              </c:pt>
              <c:pt idx="20">
                <c:v>23621</c:v>
              </c:pt>
              <c:pt idx="21">
                <c:v>23712</c:v>
              </c:pt>
              <c:pt idx="22">
                <c:v>23802</c:v>
              </c:pt>
              <c:pt idx="23">
                <c:v>23894</c:v>
              </c:pt>
              <c:pt idx="24">
                <c:v>23986</c:v>
              </c:pt>
              <c:pt idx="25">
                <c:v>24077</c:v>
              </c:pt>
              <c:pt idx="26">
                <c:v>24167</c:v>
              </c:pt>
              <c:pt idx="27">
                <c:v>24259</c:v>
              </c:pt>
              <c:pt idx="28">
                <c:v>24351</c:v>
              </c:pt>
              <c:pt idx="29">
                <c:v>24442</c:v>
              </c:pt>
              <c:pt idx="30">
                <c:v>24532</c:v>
              </c:pt>
              <c:pt idx="31">
                <c:v>24624</c:v>
              </c:pt>
              <c:pt idx="32">
                <c:v>24716</c:v>
              </c:pt>
              <c:pt idx="33">
                <c:v>24807</c:v>
              </c:pt>
              <c:pt idx="34">
                <c:v>24898</c:v>
              </c:pt>
              <c:pt idx="35">
                <c:v>24990</c:v>
              </c:pt>
              <c:pt idx="36">
                <c:v>25082</c:v>
              </c:pt>
              <c:pt idx="37">
                <c:v>25173</c:v>
              </c:pt>
              <c:pt idx="38">
                <c:v>25263</c:v>
              </c:pt>
              <c:pt idx="39">
                <c:v>25355</c:v>
              </c:pt>
              <c:pt idx="40">
                <c:v>25447</c:v>
              </c:pt>
              <c:pt idx="41">
                <c:v>25538</c:v>
              </c:pt>
              <c:pt idx="42">
                <c:v>25628</c:v>
              </c:pt>
              <c:pt idx="43">
                <c:v>25720</c:v>
              </c:pt>
              <c:pt idx="44">
                <c:v>25812</c:v>
              </c:pt>
              <c:pt idx="45">
                <c:v>25903</c:v>
              </c:pt>
              <c:pt idx="46">
                <c:v>25993</c:v>
              </c:pt>
              <c:pt idx="47">
                <c:v>26085</c:v>
              </c:pt>
              <c:pt idx="48">
                <c:v>26177</c:v>
              </c:pt>
              <c:pt idx="49">
                <c:v>26268</c:v>
              </c:pt>
              <c:pt idx="50">
                <c:v>26359</c:v>
              </c:pt>
              <c:pt idx="51">
                <c:v>26451</c:v>
              </c:pt>
              <c:pt idx="52">
                <c:v>26543</c:v>
              </c:pt>
              <c:pt idx="53">
                <c:v>26634</c:v>
              </c:pt>
              <c:pt idx="54">
                <c:v>26724</c:v>
              </c:pt>
              <c:pt idx="55">
                <c:v>26816</c:v>
              </c:pt>
              <c:pt idx="56">
                <c:v>26908</c:v>
              </c:pt>
              <c:pt idx="57">
                <c:v>26999</c:v>
              </c:pt>
              <c:pt idx="58">
                <c:v>27089</c:v>
              </c:pt>
              <c:pt idx="59">
                <c:v>27181</c:v>
              </c:pt>
              <c:pt idx="60">
                <c:v>27273</c:v>
              </c:pt>
              <c:pt idx="61">
                <c:v>27364</c:v>
              </c:pt>
              <c:pt idx="62">
                <c:v>27454</c:v>
              </c:pt>
              <c:pt idx="63">
                <c:v>27546</c:v>
              </c:pt>
              <c:pt idx="64">
                <c:v>27638</c:v>
              </c:pt>
              <c:pt idx="65">
                <c:v>27729</c:v>
              </c:pt>
              <c:pt idx="66">
                <c:v>27820</c:v>
              </c:pt>
              <c:pt idx="67">
                <c:v>27912</c:v>
              </c:pt>
              <c:pt idx="68">
                <c:v>28004</c:v>
              </c:pt>
              <c:pt idx="69">
                <c:v>28095</c:v>
              </c:pt>
              <c:pt idx="70">
                <c:v>28185</c:v>
              </c:pt>
              <c:pt idx="71">
                <c:v>28277</c:v>
              </c:pt>
              <c:pt idx="72">
                <c:v>28369</c:v>
              </c:pt>
              <c:pt idx="73">
                <c:v>28460</c:v>
              </c:pt>
              <c:pt idx="74">
                <c:v>28550</c:v>
              </c:pt>
              <c:pt idx="75">
                <c:v>28642</c:v>
              </c:pt>
              <c:pt idx="76">
                <c:v>28734</c:v>
              </c:pt>
              <c:pt idx="77">
                <c:v>28825</c:v>
              </c:pt>
              <c:pt idx="78">
                <c:v>28915</c:v>
              </c:pt>
              <c:pt idx="79">
                <c:v>29007</c:v>
              </c:pt>
              <c:pt idx="80">
                <c:v>29099</c:v>
              </c:pt>
              <c:pt idx="81">
                <c:v>29190</c:v>
              </c:pt>
              <c:pt idx="82">
                <c:v>29281</c:v>
              </c:pt>
              <c:pt idx="83">
                <c:v>29373</c:v>
              </c:pt>
              <c:pt idx="84">
                <c:v>29465</c:v>
              </c:pt>
              <c:pt idx="85">
                <c:v>29556</c:v>
              </c:pt>
              <c:pt idx="86">
                <c:v>29646</c:v>
              </c:pt>
              <c:pt idx="87">
                <c:v>29738</c:v>
              </c:pt>
              <c:pt idx="88">
                <c:v>29830</c:v>
              </c:pt>
              <c:pt idx="89">
                <c:v>29921</c:v>
              </c:pt>
              <c:pt idx="90">
                <c:v>30011</c:v>
              </c:pt>
              <c:pt idx="91">
                <c:v>30103</c:v>
              </c:pt>
              <c:pt idx="92">
                <c:v>30195</c:v>
              </c:pt>
              <c:pt idx="93">
                <c:v>30286</c:v>
              </c:pt>
              <c:pt idx="94">
                <c:v>30376</c:v>
              </c:pt>
              <c:pt idx="95">
                <c:v>30468</c:v>
              </c:pt>
              <c:pt idx="96">
                <c:v>30560</c:v>
              </c:pt>
              <c:pt idx="97">
                <c:v>30651</c:v>
              </c:pt>
              <c:pt idx="98">
                <c:v>30742</c:v>
              </c:pt>
              <c:pt idx="99">
                <c:v>30834</c:v>
              </c:pt>
              <c:pt idx="100">
                <c:v>30926</c:v>
              </c:pt>
              <c:pt idx="101">
                <c:v>31017</c:v>
              </c:pt>
              <c:pt idx="102">
                <c:v>31107</c:v>
              </c:pt>
              <c:pt idx="103">
                <c:v>31199</c:v>
              </c:pt>
              <c:pt idx="104">
                <c:v>31291</c:v>
              </c:pt>
              <c:pt idx="105">
                <c:v>31382</c:v>
              </c:pt>
              <c:pt idx="106">
                <c:v>31472</c:v>
              </c:pt>
              <c:pt idx="107">
                <c:v>31564</c:v>
              </c:pt>
              <c:pt idx="108">
                <c:v>31656</c:v>
              </c:pt>
              <c:pt idx="109">
                <c:v>31747</c:v>
              </c:pt>
              <c:pt idx="110">
                <c:v>31837</c:v>
              </c:pt>
              <c:pt idx="111">
                <c:v>31929</c:v>
              </c:pt>
              <c:pt idx="112">
                <c:v>32021</c:v>
              </c:pt>
              <c:pt idx="113">
                <c:v>32112</c:v>
              </c:pt>
              <c:pt idx="114">
                <c:v>32203</c:v>
              </c:pt>
              <c:pt idx="115">
                <c:v>32295</c:v>
              </c:pt>
              <c:pt idx="116">
                <c:v>32387</c:v>
              </c:pt>
              <c:pt idx="117">
                <c:v>32478</c:v>
              </c:pt>
              <c:pt idx="118">
                <c:v>32568</c:v>
              </c:pt>
              <c:pt idx="119">
                <c:v>32660</c:v>
              </c:pt>
              <c:pt idx="120">
                <c:v>32752</c:v>
              </c:pt>
              <c:pt idx="121">
                <c:v>32843</c:v>
              </c:pt>
              <c:pt idx="122">
                <c:v>32933</c:v>
              </c:pt>
              <c:pt idx="123">
                <c:v>33025</c:v>
              </c:pt>
              <c:pt idx="124">
                <c:v>33117</c:v>
              </c:pt>
              <c:pt idx="125">
                <c:v>33208</c:v>
              </c:pt>
              <c:pt idx="126">
                <c:v>33298</c:v>
              </c:pt>
              <c:pt idx="127">
                <c:v>33390</c:v>
              </c:pt>
              <c:pt idx="128">
                <c:v>33482</c:v>
              </c:pt>
              <c:pt idx="129">
                <c:v>33573</c:v>
              </c:pt>
              <c:pt idx="130">
                <c:v>33664</c:v>
              </c:pt>
              <c:pt idx="131">
                <c:v>33756</c:v>
              </c:pt>
              <c:pt idx="132">
                <c:v>33848</c:v>
              </c:pt>
              <c:pt idx="133">
                <c:v>33939</c:v>
              </c:pt>
              <c:pt idx="134">
                <c:v>34029</c:v>
              </c:pt>
              <c:pt idx="135">
                <c:v>34121</c:v>
              </c:pt>
              <c:pt idx="136">
                <c:v>34213</c:v>
              </c:pt>
              <c:pt idx="137">
                <c:v>34304</c:v>
              </c:pt>
              <c:pt idx="138">
                <c:v>34394</c:v>
              </c:pt>
              <c:pt idx="139">
                <c:v>34486</c:v>
              </c:pt>
              <c:pt idx="140">
                <c:v>34578</c:v>
              </c:pt>
              <c:pt idx="141">
                <c:v>34669</c:v>
              </c:pt>
              <c:pt idx="142">
                <c:v>34759</c:v>
              </c:pt>
              <c:pt idx="143">
                <c:v>34851</c:v>
              </c:pt>
              <c:pt idx="144">
                <c:v>34943</c:v>
              </c:pt>
              <c:pt idx="145">
                <c:v>35034</c:v>
              </c:pt>
              <c:pt idx="146">
                <c:v>35125</c:v>
              </c:pt>
              <c:pt idx="147">
                <c:v>35217</c:v>
              </c:pt>
              <c:pt idx="148">
                <c:v>35309</c:v>
              </c:pt>
              <c:pt idx="149">
                <c:v>35400</c:v>
              </c:pt>
              <c:pt idx="150">
                <c:v>35490</c:v>
              </c:pt>
              <c:pt idx="151">
                <c:v>35582</c:v>
              </c:pt>
              <c:pt idx="152">
                <c:v>35674</c:v>
              </c:pt>
              <c:pt idx="153">
                <c:v>35765</c:v>
              </c:pt>
              <c:pt idx="154">
                <c:v>35855</c:v>
              </c:pt>
              <c:pt idx="155">
                <c:v>35947</c:v>
              </c:pt>
              <c:pt idx="156">
                <c:v>36039</c:v>
              </c:pt>
              <c:pt idx="157">
                <c:v>36130</c:v>
              </c:pt>
              <c:pt idx="158">
                <c:v>36220</c:v>
              </c:pt>
              <c:pt idx="159">
                <c:v>36312</c:v>
              </c:pt>
              <c:pt idx="160">
                <c:v>36404</c:v>
              </c:pt>
              <c:pt idx="161">
                <c:v>36495</c:v>
              </c:pt>
              <c:pt idx="162">
                <c:v>36586</c:v>
              </c:pt>
              <c:pt idx="163">
                <c:v>36678</c:v>
              </c:pt>
              <c:pt idx="164">
                <c:v>36770</c:v>
              </c:pt>
              <c:pt idx="165">
                <c:v>36861</c:v>
              </c:pt>
              <c:pt idx="166">
                <c:v>36951</c:v>
              </c:pt>
              <c:pt idx="167">
                <c:v>37043</c:v>
              </c:pt>
              <c:pt idx="168">
                <c:v>37135</c:v>
              </c:pt>
              <c:pt idx="169">
                <c:v>37226</c:v>
              </c:pt>
              <c:pt idx="170">
                <c:v>37316</c:v>
              </c:pt>
              <c:pt idx="171">
                <c:v>37408</c:v>
              </c:pt>
              <c:pt idx="172">
                <c:v>37500</c:v>
              </c:pt>
              <c:pt idx="173">
                <c:v>37591</c:v>
              </c:pt>
              <c:pt idx="174">
                <c:v>37681</c:v>
              </c:pt>
              <c:pt idx="175">
                <c:v>37773</c:v>
              </c:pt>
              <c:pt idx="176">
                <c:v>37865</c:v>
              </c:pt>
              <c:pt idx="177">
                <c:v>37956</c:v>
              </c:pt>
              <c:pt idx="178">
                <c:v>38047</c:v>
              </c:pt>
              <c:pt idx="179">
                <c:v>38139</c:v>
              </c:pt>
              <c:pt idx="180">
                <c:v>38231</c:v>
              </c:pt>
              <c:pt idx="181">
                <c:v>38322</c:v>
              </c:pt>
              <c:pt idx="182">
                <c:v>38412</c:v>
              </c:pt>
              <c:pt idx="183">
                <c:v>38504</c:v>
              </c:pt>
              <c:pt idx="184">
                <c:v>38596</c:v>
              </c:pt>
              <c:pt idx="185">
                <c:v>38687</c:v>
              </c:pt>
              <c:pt idx="186">
                <c:v>38777</c:v>
              </c:pt>
              <c:pt idx="187">
                <c:v>38869</c:v>
              </c:pt>
              <c:pt idx="188">
                <c:v>38961</c:v>
              </c:pt>
              <c:pt idx="189">
                <c:v>39052</c:v>
              </c:pt>
              <c:pt idx="190">
                <c:v>39142</c:v>
              </c:pt>
              <c:pt idx="191">
                <c:v>39234</c:v>
              </c:pt>
              <c:pt idx="192">
                <c:v>39326</c:v>
              </c:pt>
              <c:pt idx="193">
                <c:v>39417</c:v>
              </c:pt>
              <c:pt idx="194">
                <c:v>39508</c:v>
              </c:pt>
              <c:pt idx="195">
                <c:v>39600</c:v>
              </c:pt>
              <c:pt idx="196">
                <c:v>39692</c:v>
              </c:pt>
              <c:pt idx="197">
                <c:v>39783</c:v>
              </c:pt>
              <c:pt idx="198">
                <c:v>39873</c:v>
              </c:pt>
              <c:pt idx="199">
                <c:v>39965</c:v>
              </c:pt>
              <c:pt idx="200">
                <c:v>40057</c:v>
              </c:pt>
              <c:pt idx="201">
                <c:v>40148</c:v>
              </c:pt>
              <c:pt idx="202">
                <c:v>40238</c:v>
              </c:pt>
              <c:pt idx="203">
                <c:v>40330</c:v>
              </c:pt>
              <c:pt idx="204">
                <c:v>40422</c:v>
              </c:pt>
              <c:pt idx="205">
                <c:v>40513</c:v>
              </c:pt>
              <c:pt idx="206">
                <c:v>40603</c:v>
              </c:pt>
              <c:pt idx="207">
                <c:v>40695</c:v>
              </c:pt>
              <c:pt idx="208">
                <c:v>40787</c:v>
              </c:pt>
              <c:pt idx="209">
                <c:v>40878</c:v>
              </c:pt>
              <c:pt idx="210">
                <c:v>40969</c:v>
              </c:pt>
              <c:pt idx="211">
                <c:v>41061</c:v>
              </c:pt>
              <c:pt idx="212">
                <c:v>41153</c:v>
              </c:pt>
              <c:pt idx="213">
                <c:v>41244</c:v>
              </c:pt>
              <c:pt idx="214">
                <c:v>41334</c:v>
              </c:pt>
              <c:pt idx="215">
                <c:v>41426</c:v>
              </c:pt>
              <c:pt idx="216">
                <c:v>41518</c:v>
              </c:pt>
              <c:pt idx="217">
                <c:v>41609</c:v>
              </c:pt>
              <c:pt idx="218">
                <c:v>41699</c:v>
              </c:pt>
              <c:pt idx="219">
                <c:v>41791</c:v>
              </c:pt>
              <c:pt idx="220">
                <c:v>41883</c:v>
              </c:pt>
              <c:pt idx="221">
                <c:v>41974</c:v>
              </c:pt>
              <c:pt idx="222">
                <c:v>42064</c:v>
              </c:pt>
              <c:pt idx="223">
                <c:v>42156</c:v>
              </c:pt>
              <c:pt idx="224">
                <c:v>42248</c:v>
              </c:pt>
              <c:pt idx="225">
                <c:v>42339</c:v>
              </c:pt>
              <c:pt idx="226">
                <c:v>42430</c:v>
              </c:pt>
              <c:pt idx="227">
                <c:v>42522</c:v>
              </c:pt>
              <c:pt idx="228">
                <c:v>42614</c:v>
              </c:pt>
              <c:pt idx="229">
                <c:v>42705</c:v>
              </c:pt>
              <c:pt idx="230">
                <c:v>42795</c:v>
              </c:pt>
              <c:pt idx="231">
                <c:v>42887</c:v>
              </c:pt>
              <c:pt idx="232">
                <c:v>42979</c:v>
              </c:pt>
              <c:pt idx="233">
                <c:v>43070</c:v>
              </c:pt>
              <c:pt idx="234">
                <c:v>43160</c:v>
              </c:pt>
              <c:pt idx="235">
                <c:v>43252</c:v>
              </c:pt>
              <c:pt idx="236">
                <c:v>43344</c:v>
              </c:pt>
              <c:pt idx="237">
                <c:v>43435</c:v>
              </c:pt>
              <c:pt idx="238">
                <c:v>43525</c:v>
              </c:pt>
              <c:pt idx="239">
                <c:v>43617</c:v>
              </c:pt>
              <c:pt idx="240">
                <c:v>43709</c:v>
              </c:pt>
              <c:pt idx="241">
                <c:v>43800</c:v>
              </c:pt>
              <c:pt idx="242">
                <c:v>43891</c:v>
              </c:pt>
              <c:pt idx="243">
                <c:v>43983</c:v>
              </c:pt>
              <c:pt idx="244">
                <c:v>44075</c:v>
              </c:pt>
              <c:pt idx="245">
                <c:v>44166</c:v>
              </c:pt>
              <c:pt idx="246">
                <c:v>44256</c:v>
              </c:pt>
              <c:pt idx="247">
                <c:v>44348</c:v>
              </c:pt>
              <c:pt idx="248">
                <c:v>44440</c:v>
              </c:pt>
              <c:pt idx="249">
                <c:v>44531</c:v>
              </c:pt>
              <c:pt idx="250">
                <c:v>44621</c:v>
              </c:pt>
              <c:pt idx="251">
                <c:v>44713</c:v>
              </c:pt>
              <c:pt idx="252">
                <c:v>44805</c:v>
              </c:pt>
              <c:pt idx="253">
                <c:v>44896</c:v>
              </c:pt>
              <c:pt idx="254">
                <c:v>44986</c:v>
              </c:pt>
              <c:pt idx="255">
                <c:v>45078</c:v>
              </c:pt>
              <c:pt idx="256">
                <c:v>45170</c:v>
              </c:pt>
              <c:pt idx="257">
                <c:v>45261</c:v>
              </c:pt>
              <c:pt idx="258">
                <c:v>45352</c:v>
              </c:pt>
              <c:pt idx="259">
                <c:v>45444</c:v>
              </c:pt>
              <c:pt idx="260">
                <c:v>45536</c:v>
              </c:pt>
              <c:pt idx="261">
                <c:v>45627</c:v>
              </c:pt>
              <c:pt idx="262">
                <c:v>45717</c:v>
              </c:pt>
              <c:pt idx="263">
                <c:v>45809</c:v>
              </c:pt>
              <c:pt idx="264">
                <c:v>45901</c:v>
              </c:pt>
              <c:pt idx="265">
                <c:v>45992</c:v>
              </c:pt>
              <c:pt idx="266">
                <c:v>46082</c:v>
              </c:pt>
            </c:numLit>
          </c:cat>
          <c:val>
            <c:numLit>
              <c:formatCode>General</c:formatCode>
              <c:ptCount val="267"/>
              <c:pt idx="0">
                <c:v>3978</c:v>
              </c:pt>
              <c:pt idx="1">
                <c:v>4094</c:v>
              </c:pt>
              <c:pt idx="2">
                <c:v>4173</c:v>
              </c:pt>
              <c:pt idx="3">
                <c:v>4385</c:v>
              </c:pt>
              <c:pt idx="4">
                <c:v>4407</c:v>
              </c:pt>
              <c:pt idx="5">
                <c:v>4435</c:v>
              </c:pt>
              <c:pt idx="6">
                <c:v>4427</c:v>
              </c:pt>
              <c:pt idx="7">
                <c:v>4329</c:v>
              </c:pt>
              <c:pt idx="8">
                <c:v>4337</c:v>
              </c:pt>
              <c:pt idx="9">
                <c:v>4374</c:v>
              </c:pt>
              <c:pt idx="10">
                <c:v>4505</c:v>
              </c:pt>
              <c:pt idx="11">
                <c:v>4602</c:v>
              </c:pt>
              <c:pt idx="12">
                <c:v>4659</c:v>
              </c:pt>
              <c:pt idx="13">
                <c:v>4789</c:v>
              </c:pt>
              <c:pt idx="14">
                <c:v>4933</c:v>
              </c:pt>
              <c:pt idx="15">
                <c:v>4897</c:v>
              </c:pt>
              <c:pt idx="16">
                <c:v>5158</c:v>
              </c:pt>
              <c:pt idx="17">
                <c:v>5265</c:v>
              </c:pt>
              <c:pt idx="18">
                <c:v>5327</c:v>
              </c:pt>
              <c:pt idx="19">
                <c:v>5509</c:v>
              </c:pt>
              <c:pt idx="20">
                <c:v>5593</c:v>
              </c:pt>
              <c:pt idx="21">
                <c:v>5773</c:v>
              </c:pt>
              <c:pt idx="22">
                <c:v>5860</c:v>
              </c:pt>
              <c:pt idx="23">
                <c:v>5974</c:v>
              </c:pt>
              <c:pt idx="24">
                <c:v>5994</c:v>
              </c:pt>
              <c:pt idx="25">
                <c:v>6066</c:v>
              </c:pt>
              <c:pt idx="26">
                <c:v>6101</c:v>
              </c:pt>
              <c:pt idx="27">
                <c:v>6260</c:v>
              </c:pt>
              <c:pt idx="28">
                <c:v>6546</c:v>
              </c:pt>
              <c:pt idx="29">
                <c:v>6711</c:v>
              </c:pt>
              <c:pt idx="30">
                <c:v>6948</c:v>
              </c:pt>
              <c:pt idx="31">
                <c:v>6998</c:v>
              </c:pt>
              <c:pt idx="32">
                <c:v>7105</c:v>
              </c:pt>
              <c:pt idx="33">
                <c:v>7246</c:v>
              </c:pt>
              <c:pt idx="34">
                <c:v>7356</c:v>
              </c:pt>
              <c:pt idx="35">
                <c:v>7543</c:v>
              </c:pt>
              <c:pt idx="36">
                <c:v>7767</c:v>
              </c:pt>
              <c:pt idx="37">
                <c:v>8181</c:v>
              </c:pt>
              <c:pt idx="38">
                <c:v>8295</c:v>
              </c:pt>
              <c:pt idx="39">
                <c:v>8558</c:v>
              </c:pt>
              <c:pt idx="40">
                <c:v>8870</c:v>
              </c:pt>
              <c:pt idx="41">
                <c:v>9087</c:v>
              </c:pt>
              <c:pt idx="42">
                <c:v>9311</c:v>
              </c:pt>
              <c:pt idx="43">
                <c:v>9670</c:v>
              </c:pt>
              <c:pt idx="44">
                <c:v>9732</c:v>
              </c:pt>
              <c:pt idx="45">
                <c:v>9896</c:v>
              </c:pt>
              <c:pt idx="46">
                <c:v>10276</c:v>
              </c:pt>
              <c:pt idx="47">
                <c:v>10509</c:v>
              </c:pt>
              <c:pt idx="48">
                <c:v>10918</c:v>
              </c:pt>
              <c:pt idx="49">
                <c:v>10934</c:v>
              </c:pt>
              <c:pt idx="50">
                <c:v>11135</c:v>
              </c:pt>
              <c:pt idx="51">
                <c:v>11558</c:v>
              </c:pt>
              <c:pt idx="52">
                <c:v>11719</c:v>
              </c:pt>
              <c:pt idx="53">
                <c:v>12108</c:v>
              </c:pt>
              <c:pt idx="54">
                <c:v>12714</c:v>
              </c:pt>
              <c:pt idx="55">
                <c:v>13311</c:v>
              </c:pt>
              <c:pt idx="56">
                <c:v>14057</c:v>
              </c:pt>
              <c:pt idx="57">
                <c:v>14990</c:v>
              </c:pt>
              <c:pt idx="58">
                <c:v>15519</c:v>
              </c:pt>
              <c:pt idx="59">
                <c:v>15789</c:v>
              </c:pt>
              <c:pt idx="60">
                <c:v>16776</c:v>
              </c:pt>
              <c:pt idx="61">
                <c:v>17672</c:v>
              </c:pt>
              <c:pt idx="62">
                <c:v>18024</c:v>
              </c:pt>
              <c:pt idx="63">
                <c:v>18857</c:v>
              </c:pt>
              <c:pt idx="64">
                <c:v>19430</c:v>
              </c:pt>
              <c:pt idx="65">
                <c:v>20367</c:v>
              </c:pt>
              <c:pt idx="66">
                <c:v>21333</c:v>
              </c:pt>
              <c:pt idx="67">
                <c:v>22271</c:v>
              </c:pt>
              <c:pt idx="68">
                <c:v>23048</c:v>
              </c:pt>
              <c:pt idx="69">
                <c:v>23782</c:v>
              </c:pt>
              <c:pt idx="70">
                <c:v>24313</c:v>
              </c:pt>
              <c:pt idx="71">
                <c:v>25138</c:v>
              </c:pt>
              <c:pt idx="72">
                <c:v>25478</c:v>
              </c:pt>
              <c:pt idx="73">
                <c:v>25766</c:v>
              </c:pt>
              <c:pt idx="74">
                <c:v>26614</c:v>
              </c:pt>
              <c:pt idx="75">
                <c:v>27411</c:v>
              </c:pt>
              <c:pt idx="76">
                <c:v>28331</c:v>
              </c:pt>
              <c:pt idx="77">
                <c:v>29076</c:v>
              </c:pt>
              <c:pt idx="78">
                <c:v>30536</c:v>
              </c:pt>
              <c:pt idx="79">
                <c:v>31004</c:v>
              </c:pt>
              <c:pt idx="80">
                <c:v>32077</c:v>
              </c:pt>
              <c:pt idx="81">
                <c:v>33358</c:v>
              </c:pt>
              <c:pt idx="82">
                <c:v>34269</c:v>
              </c:pt>
              <c:pt idx="83">
                <c:v>35041</c:v>
              </c:pt>
              <c:pt idx="84">
                <c:v>36201</c:v>
              </c:pt>
              <c:pt idx="85">
                <c:v>37859</c:v>
              </c:pt>
              <c:pt idx="86">
                <c:v>38611</c:v>
              </c:pt>
              <c:pt idx="87">
                <c:v>40046</c:v>
              </c:pt>
              <c:pt idx="88">
                <c:v>42221</c:v>
              </c:pt>
              <c:pt idx="89">
                <c:v>43420</c:v>
              </c:pt>
              <c:pt idx="90">
                <c:v>44349</c:v>
              </c:pt>
              <c:pt idx="91">
                <c:v>46042</c:v>
              </c:pt>
              <c:pt idx="92">
                <c:v>46626</c:v>
              </c:pt>
              <c:pt idx="93">
                <c:v>47352</c:v>
              </c:pt>
              <c:pt idx="94">
                <c:v>47763</c:v>
              </c:pt>
              <c:pt idx="95">
                <c:v>48277</c:v>
              </c:pt>
              <c:pt idx="96">
                <c:v>51061</c:v>
              </c:pt>
              <c:pt idx="97">
                <c:v>52471</c:v>
              </c:pt>
              <c:pt idx="98">
                <c:v>54634</c:v>
              </c:pt>
              <c:pt idx="99">
                <c:v>55882</c:v>
              </c:pt>
              <c:pt idx="100">
                <c:v>56555</c:v>
              </c:pt>
              <c:pt idx="101">
                <c:v>57490</c:v>
              </c:pt>
              <c:pt idx="102">
                <c:v>59695</c:v>
              </c:pt>
              <c:pt idx="103">
                <c:v>62029</c:v>
              </c:pt>
              <c:pt idx="104">
                <c:v>63472</c:v>
              </c:pt>
              <c:pt idx="105">
                <c:v>64706</c:v>
              </c:pt>
              <c:pt idx="106">
                <c:v>65929</c:v>
              </c:pt>
              <c:pt idx="107">
                <c:v>67111</c:v>
              </c:pt>
              <c:pt idx="108">
                <c:v>68346</c:v>
              </c:pt>
              <c:pt idx="109">
                <c:v>70633</c:v>
              </c:pt>
              <c:pt idx="110">
                <c:v>72426</c:v>
              </c:pt>
              <c:pt idx="111">
                <c:v>75160</c:v>
              </c:pt>
              <c:pt idx="112">
                <c:v>77563</c:v>
              </c:pt>
              <c:pt idx="113">
                <c:v>79892</c:v>
              </c:pt>
              <c:pt idx="114">
                <c:v>82779</c:v>
              </c:pt>
              <c:pt idx="115">
                <c:v>84834</c:v>
              </c:pt>
              <c:pt idx="116">
                <c:v>87856</c:v>
              </c:pt>
              <c:pt idx="117">
                <c:v>90712</c:v>
              </c:pt>
              <c:pt idx="118">
                <c:v>93344</c:v>
              </c:pt>
              <c:pt idx="119">
                <c:v>96972</c:v>
              </c:pt>
              <c:pt idx="120">
                <c:v>98845</c:v>
              </c:pt>
              <c:pt idx="121">
                <c:v>100574</c:v>
              </c:pt>
              <c:pt idx="122">
                <c:v>102413</c:v>
              </c:pt>
              <c:pt idx="123">
                <c:v>104356</c:v>
              </c:pt>
              <c:pt idx="124">
                <c:v>103747</c:v>
              </c:pt>
              <c:pt idx="125">
                <c:v>104984</c:v>
              </c:pt>
              <c:pt idx="126">
                <c:v>103579</c:v>
              </c:pt>
              <c:pt idx="127">
                <c:v>103653</c:v>
              </c:pt>
              <c:pt idx="128">
                <c:v>104414</c:v>
              </c:pt>
              <c:pt idx="129">
                <c:v>105384</c:v>
              </c:pt>
              <c:pt idx="130">
                <c:v>106904</c:v>
              </c:pt>
              <c:pt idx="131">
                <c:v>107315</c:v>
              </c:pt>
              <c:pt idx="132">
                <c:v>108347</c:v>
              </c:pt>
              <c:pt idx="133">
                <c:v>110535</c:v>
              </c:pt>
              <c:pt idx="134">
                <c:v>112418</c:v>
              </c:pt>
              <c:pt idx="135">
                <c:v>113574</c:v>
              </c:pt>
              <c:pt idx="136">
                <c:v>113419</c:v>
              </c:pt>
              <c:pt idx="137">
                <c:v>115809</c:v>
              </c:pt>
              <c:pt idx="138">
                <c:v>118169</c:v>
              </c:pt>
              <c:pt idx="139">
                <c:v>119694</c:v>
              </c:pt>
              <c:pt idx="140">
                <c:v>123230</c:v>
              </c:pt>
              <c:pt idx="141">
                <c:v>122598</c:v>
              </c:pt>
              <c:pt idx="142">
                <c:v>124763</c:v>
              </c:pt>
              <c:pt idx="143">
                <c:v>126466</c:v>
              </c:pt>
              <c:pt idx="144">
                <c:v>129185</c:v>
              </c:pt>
              <c:pt idx="145">
                <c:v>131785</c:v>
              </c:pt>
              <c:pt idx="146">
                <c:v>133409</c:v>
              </c:pt>
              <c:pt idx="147">
                <c:v>135523</c:v>
              </c:pt>
              <c:pt idx="148">
                <c:v>136171</c:v>
              </c:pt>
              <c:pt idx="149">
                <c:v>138135</c:v>
              </c:pt>
              <c:pt idx="150">
                <c:v>139429</c:v>
              </c:pt>
              <c:pt idx="151">
                <c:v>142988</c:v>
              </c:pt>
              <c:pt idx="152">
                <c:v>143892</c:v>
              </c:pt>
              <c:pt idx="153">
                <c:v>147721</c:v>
              </c:pt>
              <c:pt idx="154">
                <c:v>148837</c:v>
              </c:pt>
              <c:pt idx="155">
                <c:v>150050</c:v>
              </c:pt>
              <c:pt idx="156">
                <c:v>152688</c:v>
              </c:pt>
              <c:pt idx="157">
                <c:v>155604</c:v>
              </c:pt>
              <c:pt idx="158">
                <c:v>157062</c:v>
              </c:pt>
              <c:pt idx="159">
                <c:v>157994</c:v>
              </c:pt>
              <c:pt idx="160">
                <c:v>160793</c:v>
              </c:pt>
              <c:pt idx="161">
                <c:v>163672</c:v>
              </c:pt>
              <c:pt idx="162">
                <c:v>168608</c:v>
              </c:pt>
              <c:pt idx="163">
                <c:v>170857</c:v>
              </c:pt>
              <c:pt idx="164">
                <c:v>175080</c:v>
              </c:pt>
              <c:pt idx="165">
                <c:v>174197</c:v>
              </c:pt>
              <c:pt idx="166">
                <c:v>179072</c:v>
              </c:pt>
              <c:pt idx="167">
                <c:v>180917</c:v>
              </c:pt>
              <c:pt idx="168">
                <c:v>184647</c:v>
              </c:pt>
              <c:pt idx="169">
                <c:v>187133</c:v>
              </c:pt>
              <c:pt idx="170">
                <c:v>191286</c:v>
              </c:pt>
              <c:pt idx="171">
                <c:v>194598</c:v>
              </c:pt>
              <c:pt idx="172">
                <c:v>197262</c:v>
              </c:pt>
              <c:pt idx="173">
                <c:v>200533</c:v>
              </c:pt>
              <c:pt idx="174">
                <c:v>202726</c:v>
              </c:pt>
              <c:pt idx="175">
                <c:v>204700</c:v>
              </c:pt>
              <c:pt idx="176">
                <c:v>209422</c:v>
              </c:pt>
              <c:pt idx="177">
                <c:v>214673</c:v>
              </c:pt>
              <c:pt idx="178">
                <c:v>218833</c:v>
              </c:pt>
              <c:pt idx="179">
                <c:v>222271</c:v>
              </c:pt>
              <c:pt idx="180">
                <c:v>225362</c:v>
              </c:pt>
              <c:pt idx="181">
                <c:v>229295</c:v>
              </c:pt>
              <c:pt idx="182">
                <c:v>233631</c:v>
              </c:pt>
              <c:pt idx="183">
                <c:v>238560</c:v>
              </c:pt>
              <c:pt idx="184">
                <c:v>244095</c:v>
              </c:pt>
              <c:pt idx="185">
                <c:v>249501</c:v>
              </c:pt>
              <c:pt idx="186">
                <c:v>252482</c:v>
              </c:pt>
              <c:pt idx="187">
                <c:v>255787</c:v>
              </c:pt>
              <c:pt idx="188">
                <c:v>263275</c:v>
              </c:pt>
              <c:pt idx="189">
                <c:v>270302</c:v>
              </c:pt>
              <c:pt idx="190">
                <c:v>277175</c:v>
              </c:pt>
              <c:pt idx="191">
                <c:v>281231</c:v>
              </c:pt>
              <c:pt idx="192">
                <c:v>285703</c:v>
              </c:pt>
              <c:pt idx="193">
                <c:v>291102</c:v>
              </c:pt>
              <c:pt idx="194">
                <c:v>298851</c:v>
              </c:pt>
              <c:pt idx="195">
                <c:v>306615</c:v>
              </c:pt>
              <c:pt idx="196">
                <c:v>316397</c:v>
              </c:pt>
              <c:pt idx="197">
                <c:v>316940</c:v>
              </c:pt>
              <c:pt idx="198">
                <c:v>318421</c:v>
              </c:pt>
              <c:pt idx="199">
                <c:v>313814</c:v>
              </c:pt>
              <c:pt idx="200">
                <c:v>314857</c:v>
              </c:pt>
              <c:pt idx="201">
                <c:v>321978</c:v>
              </c:pt>
              <c:pt idx="202">
                <c:v>329458</c:v>
              </c:pt>
              <c:pt idx="203">
                <c:v>341052</c:v>
              </c:pt>
              <c:pt idx="204">
                <c:v>346004</c:v>
              </c:pt>
              <c:pt idx="205">
                <c:v>352107</c:v>
              </c:pt>
              <c:pt idx="206">
                <c:v>358017</c:v>
              </c:pt>
              <c:pt idx="207">
                <c:v>366941</c:v>
              </c:pt>
              <c:pt idx="208">
                <c:v>373550</c:v>
              </c:pt>
              <c:pt idx="209">
                <c:v>374487</c:v>
              </c:pt>
              <c:pt idx="210">
                <c:v>375468</c:v>
              </c:pt>
              <c:pt idx="211">
                <c:v>380785</c:v>
              </c:pt>
              <c:pt idx="212">
                <c:v>381809</c:v>
              </c:pt>
              <c:pt idx="213">
                <c:v>383401</c:v>
              </c:pt>
              <c:pt idx="214">
                <c:v>387295</c:v>
              </c:pt>
              <c:pt idx="215">
                <c:v>391610</c:v>
              </c:pt>
              <c:pt idx="216">
                <c:v>395715</c:v>
              </c:pt>
              <c:pt idx="217">
                <c:v>401762</c:v>
              </c:pt>
              <c:pt idx="218">
                <c:v>405004</c:v>
              </c:pt>
              <c:pt idx="219">
                <c:v>404524</c:v>
              </c:pt>
              <c:pt idx="220">
                <c:v>404381</c:v>
              </c:pt>
              <c:pt idx="221">
                <c:v>406897</c:v>
              </c:pt>
              <c:pt idx="222">
                <c:v>409875</c:v>
              </c:pt>
              <c:pt idx="223">
                <c:v>408977</c:v>
              </c:pt>
              <c:pt idx="224">
                <c:v>413525</c:v>
              </c:pt>
              <c:pt idx="225">
                <c:v>413706</c:v>
              </c:pt>
              <c:pt idx="226">
                <c:v>416081</c:v>
              </c:pt>
              <c:pt idx="227">
                <c:v>420973</c:v>
              </c:pt>
              <c:pt idx="228">
                <c:v>426421</c:v>
              </c:pt>
              <c:pt idx="229">
                <c:v>440621</c:v>
              </c:pt>
              <c:pt idx="230">
                <c:v>448531</c:v>
              </c:pt>
              <c:pt idx="231">
                <c:v>448464</c:v>
              </c:pt>
              <c:pt idx="232">
                <c:v>454276</c:v>
              </c:pt>
              <c:pt idx="233">
                <c:v>456786</c:v>
              </c:pt>
              <c:pt idx="234">
                <c:v>465769</c:v>
              </c:pt>
              <c:pt idx="235">
                <c:v>472054</c:v>
              </c:pt>
              <c:pt idx="236">
                <c:v>479421</c:v>
              </c:pt>
              <c:pt idx="237">
                <c:v>484269</c:v>
              </c:pt>
              <c:pt idx="238">
                <c:v>491654</c:v>
              </c:pt>
              <c:pt idx="239">
                <c:v>499205</c:v>
              </c:pt>
              <c:pt idx="240">
                <c:v>505886</c:v>
              </c:pt>
              <c:pt idx="241">
                <c:v>504896</c:v>
              </c:pt>
              <c:pt idx="242">
                <c:v>506568</c:v>
              </c:pt>
              <c:pt idx="243">
                <c:v>470138</c:v>
              </c:pt>
              <c:pt idx="244">
                <c:v>490232</c:v>
              </c:pt>
              <c:pt idx="245">
                <c:v>512567</c:v>
              </c:pt>
              <c:pt idx="246">
                <c:v>533982</c:v>
              </c:pt>
              <c:pt idx="247">
                <c:v>553501</c:v>
              </c:pt>
              <c:pt idx="248">
                <c:v>551378</c:v>
              </c:pt>
              <c:pt idx="249">
                <c:v>569472</c:v>
              </c:pt>
              <c:pt idx="250">
                <c:v>595061</c:v>
              </c:pt>
              <c:pt idx="251">
                <c:v>623700</c:v>
              </c:pt>
              <c:pt idx="252">
                <c:v>632064</c:v>
              </c:pt>
              <c:pt idx="253">
                <c:v>640361</c:v>
              </c:pt>
              <c:pt idx="254">
                <c:v>652785</c:v>
              </c:pt>
              <c:pt idx="255">
                <c:v>650898</c:v>
              </c:pt>
              <c:pt idx="256">
                <c:v>658811</c:v>
              </c:pt>
              <c:pt idx="257">
                <c:v>667256</c:v>
              </c:pt>
              <c:pt idx="258">
                <c:v>676050</c:v>
              </c:pt>
              <c:pt idx="259">
                <c:v>678357</c:v>
              </c:pt>
              <c:pt idx="260">
                <c:v>681417</c:v>
              </c:pt>
              <c:pt idx="261">
                <c:v>690352</c:v>
              </c:pt>
              <c:pt idx="262">
                <c:v>699362</c:v>
              </c:pt>
              <c:pt idx="263">
                <c:v>705111</c:v>
              </c:pt>
              <c:pt idx="264">
                <c:v>717850</c:v>
              </c:pt>
              <c:pt idx="265">
                <c:v>732408</c:v>
              </c:pt>
              <c:pt idx="266">
                <c:v>736601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DEF-644B-BB31-BAE5AD1FD380}"/>
            </c:ext>
          </c:extLst>
        </c:ser>
        <c:ser>
          <c:idx val="1"/>
          <c:order val="1"/>
          <c:tx>
            <c:v>real  gdp 1980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267"/>
              <c:pt idx="0">
                <c:v>21794</c:v>
              </c:pt>
              <c:pt idx="1">
                <c:v>21885</c:v>
              </c:pt>
              <c:pt idx="2">
                <c:v>21976</c:v>
              </c:pt>
              <c:pt idx="3">
                <c:v>22068</c:v>
              </c:pt>
              <c:pt idx="4">
                <c:v>22160</c:v>
              </c:pt>
              <c:pt idx="5">
                <c:v>22251</c:v>
              </c:pt>
              <c:pt idx="6">
                <c:v>22341</c:v>
              </c:pt>
              <c:pt idx="7">
                <c:v>22433</c:v>
              </c:pt>
              <c:pt idx="8">
                <c:v>22525</c:v>
              </c:pt>
              <c:pt idx="9">
                <c:v>22616</c:v>
              </c:pt>
              <c:pt idx="10">
                <c:v>22706</c:v>
              </c:pt>
              <c:pt idx="11">
                <c:v>22798</c:v>
              </c:pt>
              <c:pt idx="12">
                <c:v>22890</c:v>
              </c:pt>
              <c:pt idx="13">
                <c:v>22981</c:v>
              </c:pt>
              <c:pt idx="14">
                <c:v>23071</c:v>
              </c:pt>
              <c:pt idx="15">
                <c:v>23163</c:v>
              </c:pt>
              <c:pt idx="16">
                <c:v>23255</c:v>
              </c:pt>
              <c:pt idx="17">
                <c:v>23346</c:v>
              </c:pt>
              <c:pt idx="18">
                <c:v>23437</c:v>
              </c:pt>
              <c:pt idx="19">
                <c:v>23529</c:v>
              </c:pt>
              <c:pt idx="20">
                <c:v>23621</c:v>
              </c:pt>
              <c:pt idx="21">
                <c:v>23712</c:v>
              </c:pt>
              <c:pt idx="22">
                <c:v>23802</c:v>
              </c:pt>
              <c:pt idx="23">
                <c:v>23894</c:v>
              </c:pt>
              <c:pt idx="24">
                <c:v>23986</c:v>
              </c:pt>
              <c:pt idx="25">
                <c:v>24077</c:v>
              </c:pt>
              <c:pt idx="26">
                <c:v>24167</c:v>
              </c:pt>
              <c:pt idx="27">
                <c:v>24259</c:v>
              </c:pt>
              <c:pt idx="28">
                <c:v>24351</c:v>
              </c:pt>
              <c:pt idx="29">
                <c:v>24442</c:v>
              </c:pt>
              <c:pt idx="30">
                <c:v>24532</c:v>
              </c:pt>
              <c:pt idx="31">
                <c:v>24624</c:v>
              </c:pt>
              <c:pt idx="32">
                <c:v>24716</c:v>
              </c:pt>
              <c:pt idx="33">
                <c:v>24807</c:v>
              </c:pt>
              <c:pt idx="34">
                <c:v>24898</c:v>
              </c:pt>
              <c:pt idx="35">
                <c:v>24990</c:v>
              </c:pt>
              <c:pt idx="36">
                <c:v>25082</c:v>
              </c:pt>
              <c:pt idx="37">
                <c:v>25173</c:v>
              </c:pt>
              <c:pt idx="38">
                <c:v>25263</c:v>
              </c:pt>
              <c:pt idx="39">
                <c:v>25355</c:v>
              </c:pt>
              <c:pt idx="40">
                <c:v>25447</c:v>
              </c:pt>
              <c:pt idx="41">
                <c:v>25538</c:v>
              </c:pt>
              <c:pt idx="42">
                <c:v>25628</c:v>
              </c:pt>
              <c:pt idx="43">
                <c:v>25720</c:v>
              </c:pt>
              <c:pt idx="44">
                <c:v>25812</c:v>
              </c:pt>
              <c:pt idx="45">
                <c:v>25903</c:v>
              </c:pt>
              <c:pt idx="46">
                <c:v>25993</c:v>
              </c:pt>
              <c:pt idx="47">
                <c:v>26085</c:v>
              </c:pt>
              <c:pt idx="48">
                <c:v>26177</c:v>
              </c:pt>
              <c:pt idx="49">
                <c:v>26268</c:v>
              </c:pt>
              <c:pt idx="50">
                <c:v>26359</c:v>
              </c:pt>
              <c:pt idx="51">
                <c:v>26451</c:v>
              </c:pt>
              <c:pt idx="52">
                <c:v>26543</c:v>
              </c:pt>
              <c:pt idx="53">
                <c:v>26634</c:v>
              </c:pt>
              <c:pt idx="54">
                <c:v>26724</c:v>
              </c:pt>
              <c:pt idx="55">
                <c:v>26816</c:v>
              </c:pt>
              <c:pt idx="56">
                <c:v>26908</c:v>
              </c:pt>
              <c:pt idx="57">
                <c:v>26999</c:v>
              </c:pt>
              <c:pt idx="58">
                <c:v>27089</c:v>
              </c:pt>
              <c:pt idx="59">
                <c:v>27181</c:v>
              </c:pt>
              <c:pt idx="60">
                <c:v>27273</c:v>
              </c:pt>
              <c:pt idx="61">
                <c:v>27364</c:v>
              </c:pt>
              <c:pt idx="62">
                <c:v>27454</c:v>
              </c:pt>
              <c:pt idx="63">
                <c:v>27546</c:v>
              </c:pt>
              <c:pt idx="64">
                <c:v>27638</c:v>
              </c:pt>
              <c:pt idx="65">
                <c:v>27729</c:v>
              </c:pt>
              <c:pt idx="66">
                <c:v>27820</c:v>
              </c:pt>
              <c:pt idx="67">
                <c:v>27912</c:v>
              </c:pt>
              <c:pt idx="68">
                <c:v>28004</c:v>
              </c:pt>
              <c:pt idx="69">
                <c:v>28095</c:v>
              </c:pt>
              <c:pt idx="70">
                <c:v>28185</c:v>
              </c:pt>
              <c:pt idx="71">
                <c:v>28277</c:v>
              </c:pt>
              <c:pt idx="72">
                <c:v>28369</c:v>
              </c:pt>
              <c:pt idx="73">
                <c:v>28460</c:v>
              </c:pt>
              <c:pt idx="74">
                <c:v>28550</c:v>
              </c:pt>
              <c:pt idx="75">
                <c:v>28642</c:v>
              </c:pt>
              <c:pt idx="76">
                <c:v>28734</c:v>
              </c:pt>
              <c:pt idx="77">
                <c:v>28825</c:v>
              </c:pt>
              <c:pt idx="78">
                <c:v>28915</c:v>
              </c:pt>
              <c:pt idx="79">
                <c:v>29007</c:v>
              </c:pt>
              <c:pt idx="80">
                <c:v>29099</c:v>
              </c:pt>
              <c:pt idx="81">
                <c:v>29190</c:v>
              </c:pt>
              <c:pt idx="82">
                <c:v>29281</c:v>
              </c:pt>
              <c:pt idx="83">
                <c:v>29373</c:v>
              </c:pt>
              <c:pt idx="84">
                <c:v>29465</c:v>
              </c:pt>
              <c:pt idx="85">
                <c:v>29556</c:v>
              </c:pt>
              <c:pt idx="86">
                <c:v>29646</c:v>
              </c:pt>
              <c:pt idx="87">
                <c:v>29738</c:v>
              </c:pt>
              <c:pt idx="88">
                <c:v>29830</c:v>
              </c:pt>
              <c:pt idx="89">
                <c:v>29921</c:v>
              </c:pt>
              <c:pt idx="90">
                <c:v>30011</c:v>
              </c:pt>
              <c:pt idx="91">
                <c:v>30103</c:v>
              </c:pt>
              <c:pt idx="92">
                <c:v>30195</c:v>
              </c:pt>
              <c:pt idx="93">
                <c:v>30286</c:v>
              </c:pt>
              <c:pt idx="94">
                <c:v>30376</c:v>
              </c:pt>
              <c:pt idx="95">
                <c:v>30468</c:v>
              </c:pt>
              <c:pt idx="96">
                <c:v>30560</c:v>
              </c:pt>
              <c:pt idx="97">
                <c:v>30651</c:v>
              </c:pt>
              <c:pt idx="98">
                <c:v>30742</c:v>
              </c:pt>
              <c:pt idx="99">
                <c:v>30834</c:v>
              </c:pt>
              <c:pt idx="100">
                <c:v>30926</c:v>
              </c:pt>
              <c:pt idx="101">
                <c:v>31017</c:v>
              </c:pt>
              <c:pt idx="102">
                <c:v>31107</c:v>
              </c:pt>
              <c:pt idx="103">
                <c:v>31199</c:v>
              </c:pt>
              <c:pt idx="104">
                <c:v>31291</c:v>
              </c:pt>
              <c:pt idx="105">
                <c:v>31382</c:v>
              </c:pt>
              <c:pt idx="106">
                <c:v>31472</c:v>
              </c:pt>
              <c:pt idx="107">
                <c:v>31564</c:v>
              </c:pt>
              <c:pt idx="108">
                <c:v>31656</c:v>
              </c:pt>
              <c:pt idx="109">
                <c:v>31747</c:v>
              </c:pt>
              <c:pt idx="110">
                <c:v>31837</c:v>
              </c:pt>
              <c:pt idx="111">
                <c:v>31929</c:v>
              </c:pt>
              <c:pt idx="112">
                <c:v>32021</c:v>
              </c:pt>
              <c:pt idx="113">
                <c:v>32112</c:v>
              </c:pt>
              <c:pt idx="114">
                <c:v>32203</c:v>
              </c:pt>
              <c:pt idx="115">
                <c:v>32295</c:v>
              </c:pt>
              <c:pt idx="116">
                <c:v>32387</c:v>
              </c:pt>
              <c:pt idx="117">
                <c:v>32478</c:v>
              </c:pt>
              <c:pt idx="118">
                <c:v>32568</c:v>
              </c:pt>
              <c:pt idx="119">
                <c:v>32660</c:v>
              </c:pt>
              <c:pt idx="120">
                <c:v>32752</c:v>
              </c:pt>
              <c:pt idx="121">
                <c:v>32843</c:v>
              </c:pt>
              <c:pt idx="122">
                <c:v>32933</c:v>
              </c:pt>
              <c:pt idx="123">
                <c:v>33025</c:v>
              </c:pt>
              <c:pt idx="124">
                <c:v>33117</c:v>
              </c:pt>
              <c:pt idx="125">
                <c:v>33208</c:v>
              </c:pt>
              <c:pt idx="126">
                <c:v>33298</c:v>
              </c:pt>
              <c:pt idx="127">
                <c:v>33390</c:v>
              </c:pt>
              <c:pt idx="128">
                <c:v>33482</c:v>
              </c:pt>
              <c:pt idx="129">
                <c:v>33573</c:v>
              </c:pt>
              <c:pt idx="130">
                <c:v>33664</c:v>
              </c:pt>
              <c:pt idx="131">
                <c:v>33756</c:v>
              </c:pt>
              <c:pt idx="132">
                <c:v>33848</c:v>
              </c:pt>
              <c:pt idx="133">
                <c:v>33939</c:v>
              </c:pt>
              <c:pt idx="134">
                <c:v>34029</c:v>
              </c:pt>
              <c:pt idx="135">
                <c:v>34121</c:v>
              </c:pt>
              <c:pt idx="136">
                <c:v>34213</c:v>
              </c:pt>
              <c:pt idx="137">
                <c:v>34304</c:v>
              </c:pt>
              <c:pt idx="138">
                <c:v>34394</c:v>
              </c:pt>
              <c:pt idx="139">
                <c:v>34486</c:v>
              </c:pt>
              <c:pt idx="140">
                <c:v>34578</c:v>
              </c:pt>
              <c:pt idx="141">
                <c:v>34669</c:v>
              </c:pt>
              <c:pt idx="142">
                <c:v>34759</c:v>
              </c:pt>
              <c:pt idx="143">
                <c:v>34851</c:v>
              </c:pt>
              <c:pt idx="144">
                <c:v>34943</c:v>
              </c:pt>
              <c:pt idx="145">
                <c:v>35034</c:v>
              </c:pt>
              <c:pt idx="146">
                <c:v>35125</c:v>
              </c:pt>
              <c:pt idx="147">
                <c:v>35217</c:v>
              </c:pt>
              <c:pt idx="148">
                <c:v>35309</c:v>
              </c:pt>
              <c:pt idx="149">
                <c:v>35400</c:v>
              </c:pt>
              <c:pt idx="150">
                <c:v>35490</c:v>
              </c:pt>
              <c:pt idx="151">
                <c:v>35582</c:v>
              </c:pt>
              <c:pt idx="152">
                <c:v>35674</c:v>
              </c:pt>
              <c:pt idx="153">
                <c:v>35765</c:v>
              </c:pt>
              <c:pt idx="154">
                <c:v>35855</c:v>
              </c:pt>
              <c:pt idx="155">
                <c:v>35947</c:v>
              </c:pt>
              <c:pt idx="156">
                <c:v>36039</c:v>
              </c:pt>
              <c:pt idx="157">
                <c:v>36130</c:v>
              </c:pt>
              <c:pt idx="158">
                <c:v>36220</c:v>
              </c:pt>
              <c:pt idx="159">
                <c:v>36312</c:v>
              </c:pt>
              <c:pt idx="160">
                <c:v>36404</c:v>
              </c:pt>
              <c:pt idx="161">
                <c:v>36495</c:v>
              </c:pt>
              <c:pt idx="162">
                <c:v>36586</c:v>
              </c:pt>
              <c:pt idx="163">
                <c:v>36678</c:v>
              </c:pt>
              <c:pt idx="164">
                <c:v>36770</c:v>
              </c:pt>
              <c:pt idx="165">
                <c:v>36861</c:v>
              </c:pt>
              <c:pt idx="166">
                <c:v>36951</c:v>
              </c:pt>
              <c:pt idx="167">
                <c:v>37043</c:v>
              </c:pt>
              <c:pt idx="168">
                <c:v>37135</c:v>
              </c:pt>
              <c:pt idx="169">
                <c:v>37226</c:v>
              </c:pt>
              <c:pt idx="170">
                <c:v>37316</c:v>
              </c:pt>
              <c:pt idx="171">
                <c:v>37408</c:v>
              </c:pt>
              <c:pt idx="172">
                <c:v>37500</c:v>
              </c:pt>
              <c:pt idx="173">
                <c:v>37591</c:v>
              </c:pt>
              <c:pt idx="174">
                <c:v>37681</c:v>
              </c:pt>
              <c:pt idx="175">
                <c:v>37773</c:v>
              </c:pt>
              <c:pt idx="176">
                <c:v>37865</c:v>
              </c:pt>
              <c:pt idx="177">
                <c:v>37956</c:v>
              </c:pt>
              <c:pt idx="178">
                <c:v>38047</c:v>
              </c:pt>
              <c:pt idx="179">
                <c:v>38139</c:v>
              </c:pt>
              <c:pt idx="180">
                <c:v>38231</c:v>
              </c:pt>
              <c:pt idx="181">
                <c:v>38322</c:v>
              </c:pt>
              <c:pt idx="182">
                <c:v>38412</c:v>
              </c:pt>
              <c:pt idx="183">
                <c:v>38504</c:v>
              </c:pt>
              <c:pt idx="184">
                <c:v>38596</c:v>
              </c:pt>
              <c:pt idx="185">
                <c:v>38687</c:v>
              </c:pt>
              <c:pt idx="186">
                <c:v>38777</c:v>
              </c:pt>
              <c:pt idx="187">
                <c:v>38869</c:v>
              </c:pt>
              <c:pt idx="188">
                <c:v>38961</c:v>
              </c:pt>
              <c:pt idx="189">
                <c:v>39052</c:v>
              </c:pt>
              <c:pt idx="190">
                <c:v>39142</c:v>
              </c:pt>
              <c:pt idx="191">
                <c:v>39234</c:v>
              </c:pt>
              <c:pt idx="192">
                <c:v>39326</c:v>
              </c:pt>
              <c:pt idx="193">
                <c:v>39417</c:v>
              </c:pt>
              <c:pt idx="194">
                <c:v>39508</c:v>
              </c:pt>
              <c:pt idx="195">
                <c:v>39600</c:v>
              </c:pt>
              <c:pt idx="196">
                <c:v>39692</c:v>
              </c:pt>
              <c:pt idx="197">
                <c:v>39783</c:v>
              </c:pt>
              <c:pt idx="198">
                <c:v>39873</c:v>
              </c:pt>
              <c:pt idx="199">
                <c:v>39965</c:v>
              </c:pt>
              <c:pt idx="200">
                <c:v>40057</c:v>
              </c:pt>
              <c:pt idx="201">
                <c:v>40148</c:v>
              </c:pt>
              <c:pt idx="202">
                <c:v>40238</c:v>
              </c:pt>
              <c:pt idx="203">
                <c:v>40330</c:v>
              </c:pt>
              <c:pt idx="204">
                <c:v>40422</c:v>
              </c:pt>
              <c:pt idx="205">
                <c:v>40513</c:v>
              </c:pt>
              <c:pt idx="206">
                <c:v>40603</c:v>
              </c:pt>
              <c:pt idx="207">
                <c:v>40695</c:v>
              </c:pt>
              <c:pt idx="208">
                <c:v>40787</c:v>
              </c:pt>
              <c:pt idx="209">
                <c:v>40878</c:v>
              </c:pt>
              <c:pt idx="210">
                <c:v>40969</c:v>
              </c:pt>
              <c:pt idx="211">
                <c:v>41061</c:v>
              </c:pt>
              <c:pt idx="212">
                <c:v>41153</c:v>
              </c:pt>
              <c:pt idx="213">
                <c:v>41244</c:v>
              </c:pt>
              <c:pt idx="214">
                <c:v>41334</c:v>
              </c:pt>
              <c:pt idx="215">
                <c:v>41426</c:v>
              </c:pt>
              <c:pt idx="216">
                <c:v>41518</c:v>
              </c:pt>
              <c:pt idx="217">
                <c:v>41609</c:v>
              </c:pt>
              <c:pt idx="218">
                <c:v>41699</c:v>
              </c:pt>
              <c:pt idx="219">
                <c:v>41791</c:v>
              </c:pt>
              <c:pt idx="220">
                <c:v>41883</c:v>
              </c:pt>
              <c:pt idx="221">
                <c:v>41974</c:v>
              </c:pt>
              <c:pt idx="222">
                <c:v>42064</c:v>
              </c:pt>
              <c:pt idx="223">
                <c:v>42156</c:v>
              </c:pt>
              <c:pt idx="224">
                <c:v>42248</c:v>
              </c:pt>
              <c:pt idx="225">
                <c:v>42339</c:v>
              </c:pt>
              <c:pt idx="226">
                <c:v>42430</c:v>
              </c:pt>
              <c:pt idx="227">
                <c:v>42522</c:v>
              </c:pt>
              <c:pt idx="228">
                <c:v>42614</c:v>
              </c:pt>
              <c:pt idx="229">
                <c:v>42705</c:v>
              </c:pt>
              <c:pt idx="230">
                <c:v>42795</c:v>
              </c:pt>
              <c:pt idx="231">
                <c:v>42887</c:v>
              </c:pt>
              <c:pt idx="232">
                <c:v>42979</c:v>
              </c:pt>
              <c:pt idx="233">
                <c:v>43070</c:v>
              </c:pt>
              <c:pt idx="234">
                <c:v>43160</c:v>
              </c:pt>
              <c:pt idx="235">
                <c:v>43252</c:v>
              </c:pt>
              <c:pt idx="236">
                <c:v>43344</c:v>
              </c:pt>
              <c:pt idx="237">
                <c:v>43435</c:v>
              </c:pt>
              <c:pt idx="238">
                <c:v>43525</c:v>
              </c:pt>
              <c:pt idx="239">
                <c:v>43617</c:v>
              </c:pt>
              <c:pt idx="240">
                <c:v>43709</c:v>
              </c:pt>
              <c:pt idx="241">
                <c:v>43800</c:v>
              </c:pt>
              <c:pt idx="242">
                <c:v>43891</c:v>
              </c:pt>
              <c:pt idx="243">
                <c:v>43983</c:v>
              </c:pt>
              <c:pt idx="244">
                <c:v>44075</c:v>
              </c:pt>
              <c:pt idx="245">
                <c:v>44166</c:v>
              </c:pt>
              <c:pt idx="246">
                <c:v>44256</c:v>
              </c:pt>
              <c:pt idx="247">
                <c:v>44348</c:v>
              </c:pt>
              <c:pt idx="248">
                <c:v>44440</c:v>
              </c:pt>
              <c:pt idx="249">
                <c:v>44531</c:v>
              </c:pt>
              <c:pt idx="250">
                <c:v>44621</c:v>
              </c:pt>
              <c:pt idx="251">
                <c:v>44713</c:v>
              </c:pt>
              <c:pt idx="252">
                <c:v>44805</c:v>
              </c:pt>
              <c:pt idx="253">
                <c:v>44896</c:v>
              </c:pt>
              <c:pt idx="254">
                <c:v>44986</c:v>
              </c:pt>
              <c:pt idx="255">
                <c:v>45078</c:v>
              </c:pt>
              <c:pt idx="256">
                <c:v>45170</c:v>
              </c:pt>
              <c:pt idx="257">
                <c:v>45261</c:v>
              </c:pt>
              <c:pt idx="258">
                <c:v>45352</c:v>
              </c:pt>
              <c:pt idx="259">
                <c:v>45444</c:v>
              </c:pt>
              <c:pt idx="260">
                <c:v>45536</c:v>
              </c:pt>
              <c:pt idx="261">
                <c:v>45627</c:v>
              </c:pt>
              <c:pt idx="262">
                <c:v>45717</c:v>
              </c:pt>
              <c:pt idx="263">
                <c:v>45809</c:v>
              </c:pt>
              <c:pt idx="264">
                <c:v>45901</c:v>
              </c:pt>
              <c:pt idx="265">
                <c:v>45992</c:v>
              </c:pt>
              <c:pt idx="266">
                <c:v>46082</c:v>
              </c:pt>
            </c:numLit>
          </c:cat>
          <c:val>
            <c:numLit>
              <c:formatCode>General</c:formatCode>
              <c:ptCount val="267"/>
              <c:pt idx="0">
                <c:v>15181.964390227864</c:v>
              </c:pt>
              <c:pt idx="1">
                <c:v>15324.690855883997</c:v>
              </c:pt>
              <c:pt idx="2">
                <c:v>15402.439220070364</c:v>
              </c:pt>
              <c:pt idx="3">
                <c:v>15823.294495774833</c:v>
              </c:pt>
              <c:pt idx="4">
                <c:v>15857.285930358727</c:v>
              </c:pt>
              <c:pt idx="5">
                <c:v>15828.740637227502</c:v>
              </c:pt>
              <c:pt idx="6">
                <c:v>15876.253526452503</c:v>
              </c:pt>
              <c:pt idx="7">
                <c:v>15701.601404004865</c:v>
              </c:pt>
              <c:pt idx="8">
                <c:v>15588.35922138559</c:v>
              </c:pt>
              <c:pt idx="9">
                <c:v>15767.33069739914</c:v>
              </c:pt>
              <c:pt idx="10">
                <c:v>16208.468155065269</c:v>
              </c:pt>
              <c:pt idx="11">
                <c:v>16520.40060171637</c:v>
              </c:pt>
              <c:pt idx="12">
                <c:v>16652.610380429422</c:v>
              </c:pt>
              <c:pt idx="13">
                <c:v>16951.209170420545</c:v>
              </c:pt>
              <c:pt idx="14">
                <c:v>17343.519152993784</c:v>
              </c:pt>
              <c:pt idx="15">
                <c:v>17119.47616150988</c:v>
              </c:pt>
              <c:pt idx="16">
                <c:v>17822.216206885216</c:v>
              </c:pt>
              <c:pt idx="17">
                <c:v>18202.319320685234</c:v>
              </c:pt>
              <c:pt idx="18">
                <c:v>18170.957057837109</c:v>
              </c:pt>
              <c:pt idx="19">
                <c:v>18620.733222635059</c:v>
              </c:pt>
              <c:pt idx="20">
                <c:v>18734.726597178837</c:v>
              </c:pt>
              <c:pt idx="21">
                <c:v>19266.758277710189</c:v>
              </c:pt>
              <c:pt idx="22">
                <c:v>19431.457107158123</c:v>
              </c:pt>
              <c:pt idx="23">
                <c:v>19735.689836583042</c:v>
              </c:pt>
              <c:pt idx="24">
                <c:v>19676.345674547068</c:v>
              </c:pt>
              <c:pt idx="25">
                <c:v>19724.797553677701</c:v>
              </c:pt>
              <c:pt idx="26">
                <c:v>19668.458159339756</c:v>
              </c:pt>
              <c:pt idx="27">
                <c:v>19936.633676388388</c:v>
              </c:pt>
              <c:pt idx="28">
                <c:v>20500.027619767865</c:v>
              </c:pt>
              <c:pt idx="29">
                <c:v>20635.429964160066</c:v>
              </c:pt>
              <c:pt idx="30">
                <c:v>21441.646697136093</c:v>
              </c:pt>
              <c:pt idx="31">
                <c:v>21411.974616118106</c:v>
              </c:pt>
              <c:pt idx="32">
                <c:v>21813.29890178542</c:v>
              </c:pt>
              <c:pt idx="33">
                <c:v>22002.78706474205</c:v>
              </c:pt>
              <c:pt idx="34">
                <c:v>21807.101568408245</c:v>
              </c:pt>
              <c:pt idx="35">
                <c:v>22645.243958175783</c:v>
              </c:pt>
              <c:pt idx="36">
                <c:v>22944.593940091407</c:v>
              </c:pt>
              <c:pt idx="37">
                <c:v>23800.764936047086</c:v>
              </c:pt>
              <c:pt idx="38">
                <c:v>23638.319682372672</c:v>
              </c:pt>
              <c:pt idx="39">
                <c:v>24105.748857396509</c:v>
              </c:pt>
              <c:pt idx="40">
                <c:v>24503.692779403544</c:v>
              </c:pt>
              <c:pt idx="41">
                <c:v>25068.776904613162</c:v>
              </c:pt>
              <c:pt idx="42">
                <c:v>25588.60171637129</c:v>
              </c:pt>
              <c:pt idx="43">
                <c:v>26107.675336204913</c:v>
              </c:pt>
              <c:pt idx="44">
                <c:v>26053.026123697102</c:v>
              </c:pt>
              <c:pt idx="45">
                <c:v>26166.643902278633</c:v>
              </c:pt>
              <c:pt idx="46">
                <c:v>26492.473399533093</c:v>
              </c:pt>
              <c:pt idx="47">
                <c:v>26607.969157925887</c:v>
              </c:pt>
              <c:pt idx="48">
                <c:v>27437.848436523855</c:v>
              </c:pt>
              <c:pt idx="49">
                <c:v>27349.207789432148</c:v>
              </c:pt>
              <c:pt idx="50">
                <c:v>27023.190494196562</c:v>
              </c:pt>
              <c:pt idx="51">
                <c:v>27624.895225725842</c:v>
              </c:pt>
              <c:pt idx="52">
                <c:v>27485.736921711108</c:v>
              </c:pt>
              <c:pt idx="53">
                <c:v>27773.067832834644</c:v>
              </c:pt>
              <c:pt idx="54">
                <c:v>28494.212080360372</c:v>
              </c:pt>
              <c:pt idx="55">
                <c:v>28547.92230296255</c:v>
              </c:pt>
              <c:pt idx="56">
                <c:v>28833.75083023707</c:v>
              </c:pt>
              <c:pt idx="57">
                <c:v>29553.580491894911</c:v>
              </c:pt>
              <c:pt idx="58">
                <c:v>29562.594794988985</c:v>
              </c:pt>
              <c:pt idx="59">
                <c:v>28962.580245289842</c:v>
              </c:pt>
              <c:pt idx="60">
                <c:v>29305.123762864565</c:v>
              </c:pt>
              <c:pt idx="61">
                <c:v>29338.927399467335</c:v>
              </c:pt>
              <c:pt idx="62">
                <c:v>29451.04279419985</c:v>
              </c:pt>
              <c:pt idx="63">
                <c:v>30382.520780587249</c:v>
              </c:pt>
              <c:pt idx="64">
                <c:v>30045.986798408572</c:v>
              </c:pt>
              <c:pt idx="65">
                <c:v>29594.332653799363</c:v>
              </c:pt>
              <c:pt idx="66">
                <c:v>30905.538158024527</c:v>
              </c:pt>
              <c:pt idx="67">
                <c:v>30997.559168776508</c:v>
              </c:pt>
              <c:pt idx="68">
                <c:v>31249.396261467136</c:v>
              </c:pt>
              <c:pt idx="69">
                <c:v>31518.510768421398</c:v>
              </c:pt>
              <c:pt idx="70">
                <c:v>31348.929191464176</c:v>
              </c:pt>
              <c:pt idx="71">
                <c:v>31793.07141682833</c:v>
              </c:pt>
              <c:pt idx="72">
                <c:v>31656.730082530499</c:v>
              </c:pt>
              <c:pt idx="73">
                <c:v>31557.760546476835</c:v>
              </c:pt>
              <c:pt idx="74">
                <c:v>31777.671982375956</c:v>
              </c:pt>
              <c:pt idx="75">
                <c:v>32045.284105481209</c:v>
              </c:pt>
              <c:pt idx="76">
                <c:v>32532.432068523329</c:v>
              </c:pt>
              <c:pt idx="77">
                <c:v>32796.476029987178</c:v>
              </c:pt>
              <c:pt idx="78">
                <c:v>33699.033127281094</c:v>
              </c:pt>
              <c:pt idx="79">
                <c:v>33156.296961825537</c:v>
              </c:pt>
              <c:pt idx="80">
                <c:v>33464.285650872982</c:v>
              </c:pt>
              <c:pt idx="81">
                <c:v>34108.432726136845</c:v>
              </c:pt>
              <c:pt idx="82">
                <c:v>34269</c:v>
              </c:pt>
              <c:pt idx="83">
                <c:v>34353.696889488041</c:v>
              </c:pt>
              <c:pt idx="84">
                <c:v>34539.992486765521</c:v>
              </c:pt>
              <c:pt idx="85">
                <c:v>35131.556127313976</c:v>
              </c:pt>
              <c:pt idx="86">
                <c:v>35263.578108045906</c:v>
              </c:pt>
              <c:pt idx="87">
                <c:v>35812.699404859763</c:v>
              </c:pt>
              <c:pt idx="88">
                <c:v>36535.533834215632</c:v>
              </c:pt>
              <c:pt idx="89">
                <c:v>36385.858843257818</c:v>
              </c:pt>
              <c:pt idx="90">
                <c:v>36094.771972511757</c:v>
              </c:pt>
              <c:pt idx="91">
                <c:v>36416.282116200309</c:v>
              </c:pt>
              <c:pt idx="92">
                <c:v>36175.337306415022</c:v>
              </c:pt>
              <c:pt idx="93">
                <c:v>35593.163564922899</c:v>
              </c:pt>
              <c:pt idx="94">
                <c:v>35249.493259461415</c:v>
              </c:pt>
              <c:pt idx="95">
                <c:v>35177.566632689966</c:v>
              </c:pt>
              <c:pt idx="96">
                <c:v>36156.181912340122</c:v>
              </c:pt>
              <c:pt idx="97">
                <c:v>36764.647371189953</c:v>
              </c:pt>
              <c:pt idx="98">
                <c:v>37663.072912899086</c:v>
              </c:pt>
              <c:pt idx="99">
                <c:v>38101.956794791702</c:v>
              </c:pt>
              <c:pt idx="100">
                <c:v>38454.265807384996</c:v>
              </c:pt>
              <c:pt idx="101">
                <c:v>38686.947506000724</c:v>
              </c:pt>
              <c:pt idx="102">
                <c:v>39258.980156512021</c:v>
              </c:pt>
              <c:pt idx="103">
                <c:v>40139.189294051888</c:v>
              </c:pt>
              <c:pt idx="104">
                <c:v>40654.506954262979</c:v>
              </c:pt>
              <c:pt idx="105">
                <c:v>40538.072205964549</c:v>
              </c:pt>
              <c:pt idx="106">
                <c:v>40816.576611975135</c:v>
              </c:pt>
              <c:pt idx="107">
                <c:v>40744.274389241444</c:v>
              </c:pt>
              <c:pt idx="108">
                <c:v>40850.755844540166</c:v>
              </c:pt>
              <c:pt idx="109">
                <c:v>41522.697021010754</c:v>
              </c:pt>
              <c:pt idx="110">
                <c:v>41936.415973432413</c:v>
              </c:pt>
              <c:pt idx="111">
                <c:v>42604.976786242725</c:v>
              </c:pt>
              <c:pt idx="112">
                <c:v>43371.755943182194</c:v>
              </c:pt>
              <c:pt idx="113">
                <c:v>44247.645727156152</c:v>
              </c:pt>
              <c:pt idx="114">
                <c:v>44433.190132509124</c:v>
              </c:pt>
              <c:pt idx="115">
                <c:v>44478.637243941739</c:v>
              </c:pt>
              <c:pt idx="116">
                <c:v>44833.387630289682</c:v>
              </c:pt>
              <c:pt idx="117">
                <c:v>45569.555716305535</c:v>
              </c:pt>
              <c:pt idx="118">
                <c:v>45990.974385953377</c:v>
              </c:pt>
              <c:pt idx="119">
                <c:v>46984.989100055893</c:v>
              </c:pt>
              <c:pt idx="120">
                <c:v>47384.811001874201</c:v>
              </c:pt>
              <c:pt idx="121">
                <c:v>47257.671768651562</c:v>
              </c:pt>
              <c:pt idx="122">
                <c:v>47611.858761056123</c:v>
              </c:pt>
              <c:pt idx="123">
                <c:v>47676.461266563638</c:v>
              </c:pt>
              <c:pt idx="124">
                <c:v>47428.380133495542</c:v>
              </c:pt>
              <c:pt idx="125">
                <c:v>47689.607125242495</c:v>
              </c:pt>
              <c:pt idx="126">
                <c:v>47090.531565448982</c:v>
              </c:pt>
              <c:pt idx="127">
                <c:v>46992.125423338708</c:v>
              </c:pt>
              <c:pt idx="128">
                <c:v>47206.778515766287</c:v>
              </c:pt>
              <c:pt idx="129">
                <c:v>47239.830960444546</c:v>
              </c:pt>
              <c:pt idx="130">
                <c:v>47614.112336829647</c:v>
              </c:pt>
              <c:pt idx="131">
                <c:v>47958.909430177882</c:v>
              </c:pt>
              <c:pt idx="132">
                <c:v>48423.897231447081</c:v>
              </c:pt>
              <c:pt idx="133">
                <c:v>49438.006329530137</c:v>
              </c:pt>
              <c:pt idx="134">
                <c:v>49780.737645085981</c:v>
              </c:pt>
              <c:pt idx="135">
                <c:v>50065.063788511492</c:v>
              </c:pt>
              <c:pt idx="136">
                <c:v>50125.534738434224</c:v>
              </c:pt>
              <c:pt idx="137">
                <c:v>51042.552280274889</c:v>
              </c:pt>
              <c:pt idx="138">
                <c:v>51893.840528721274</c:v>
              </c:pt>
              <c:pt idx="139">
                <c:v>52512.259280570812</c:v>
              </c:pt>
              <c:pt idx="140">
                <c:v>52912.644576332495</c:v>
              </c:pt>
              <c:pt idx="141">
                <c:v>53496.320701673627</c:v>
              </c:pt>
              <c:pt idx="142">
                <c:v>53453.878357939037</c:v>
              </c:pt>
              <c:pt idx="143">
                <c:v>53708.532420346564</c:v>
              </c:pt>
              <c:pt idx="144">
                <c:v>54949.689277611549</c:v>
              </c:pt>
              <c:pt idx="145">
                <c:v>54940.8627724986</c:v>
              </c:pt>
              <c:pt idx="146">
                <c:v>55789.709647190342</c:v>
              </c:pt>
              <c:pt idx="147">
                <c:v>56146.901407292935</c:v>
              </c:pt>
              <c:pt idx="148">
                <c:v>56594.799592279618</c:v>
              </c:pt>
              <c:pt idx="149">
                <c:v>57134.906585999408</c:v>
              </c:pt>
              <c:pt idx="150">
                <c:v>57536.230871666718</c:v>
              </c:pt>
              <c:pt idx="151">
                <c:v>59252.516621181734</c:v>
              </c:pt>
              <c:pt idx="152">
                <c:v>59340.406076348932</c:v>
              </c:pt>
              <c:pt idx="153">
                <c:v>60197.140466247984</c:v>
              </c:pt>
              <c:pt idx="154">
                <c:v>60563.909923388026</c:v>
              </c:pt>
              <c:pt idx="155">
                <c:v>61198.103705652189</c:v>
              </c:pt>
              <c:pt idx="156">
                <c:v>62337.849653108868</c:v>
              </c:pt>
              <c:pt idx="157">
                <c:v>63303.694670042416</c:v>
              </c:pt>
              <c:pt idx="158">
                <c:v>63774.879804688782</c:v>
              </c:pt>
              <c:pt idx="159">
                <c:v>64016.012412455202</c:v>
              </c:pt>
              <c:pt idx="160">
                <c:v>64723.823003320947</c:v>
              </c:pt>
              <c:pt idx="161">
                <c:v>65825.070364646701</c:v>
              </c:pt>
              <c:pt idx="162">
                <c:v>66082.729194752246</c:v>
              </c:pt>
              <c:pt idx="163">
                <c:v>66725.373886167101</c:v>
              </c:pt>
              <c:pt idx="164">
                <c:v>66912.608473350207</c:v>
              </c:pt>
              <c:pt idx="165">
                <c:v>66649.127905829737</c:v>
              </c:pt>
              <c:pt idx="166">
                <c:v>67277.687748660115</c:v>
              </c:pt>
              <c:pt idx="167">
                <c:v>67867.373409397303</c:v>
              </c:pt>
              <c:pt idx="168">
                <c:v>68643.730263374207</c:v>
              </c:pt>
              <c:pt idx="169">
                <c:v>69462.717259066834</c:v>
              </c:pt>
              <c:pt idx="170">
                <c:v>70004.32663663564</c:v>
              </c:pt>
              <c:pt idx="171">
                <c:v>71209.614079505467</c:v>
              </c:pt>
              <c:pt idx="172">
                <c:v>71385.392989839878</c:v>
              </c:pt>
              <c:pt idx="173">
                <c:v>71985.219741557885</c:v>
              </c:pt>
              <c:pt idx="174">
                <c:v>72151.045358892574</c:v>
              </c:pt>
              <c:pt idx="175">
                <c:v>72433.117926544568</c:v>
              </c:pt>
              <c:pt idx="176">
                <c:v>73668.453046394643</c:v>
              </c:pt>
              <c:pt idx="177">
                <c:v>74920.314388583836</c:v>
              </c:pt>
              <c:pt idx="178">
                <c:v>75479.388978397386</c:v>
              </c:pt>
              <c:pt idx="179">
                <c:v>76035.458800512948</c:v>
              </c:pt>
              <c:pt idx="180">
                <c:v>76550.213066780649</c:v>
              </c:pt>
              <c:pt idx="181">
                <c:v>77136.518363857569</c:v>
              </c:pt>
              <c:pt idx="182">
                <c:v>77769.960954197217</c:v>
              </c:pt>
              <c:pt idx="183">
                <c:v>78116.636027356712</c:v>
              </c:pt>
              <c:pt idx="184">
                <c:v>78964.35611416171</c:v>
              </c:pt>
              <c:pt idx="185">
                <c:v>79629.724361292858</c:v>
              </c:pt>
              <c:pt idx="186">
                <c:v>79683.058987932789</c:v>
              </c:pt>
              <c:pt idx="187">
                <c:v>79874.049534738442</c:v>
              </c:pt>
              <c:pt idx="188">
                <c:v>81097.553381777529</c:v>
              </c:pt>
              <c:pt idx="189">
                <c:v>82116.545227369876</c:v>
              </c:pt>
              <c:pt idx="190">
                <c:v>83236.196790846021</c:v>
              </c:pt>
              <c:pt idx="191">
                <c:v>83757.336188472036</c:v>
              </c:pt>
              <c:pt idx="192">
                <c:v>84765.8113471213</c:v>
              </c:pt>
              <c:pt idx="193">
                <c:v>85076.053611942261</c:v>
              </c:pt>
              <c:pt idx="194">
                <c:v>86020.114063065135</c:v>
              </c:pt>
              <c:pt idx="195">
                <c:v>86312.327721697948</c:v>
              </c:pt>
              <c:pt idx="196">
                <c:v>86923.234554302428</c:v>
              </c:pt>
              <c:pt idx="197">
                <c:v>86552.896935520999</c:v>
              </c:pt>
              <c:pt idx="198">
                <c:v>87423.716174004527</c:v>
              </c:pt>
              <c:pt idx="199">
                <c:v>87963.259773780941</c:v>
              </c:pt>
              <c:pt idx="200">
                <c:v>88274.441028507557</c:v>
              </c:pt>
              <c:pt idx="201">
                <c:v>88983.566205241179</c:v>
              </c:pt>
              <c:pt idx="202">
                <c:v>89379.444349455836</c:v>
              </c:pt>
              <c:pt idx="203">
                <c:v>89935.889767533619</c:v>
              </c:pt>
              <c:pt idx="204">
                <c:v>90568.017772005391</c:v>
              </c:pt>
              <c:pt idx="205">
                <c:v>91325.782625850785</c:v>
              </c:pt>
              <c:pt idx="206">
                <c:v>91059.485088613423</c:v>
              </c:pt>
              <c:pt idx="207">
                <c:v>92159.042268109042</c:v>
              </c:pt>
              <c:pt idx="208">
                <c:v>93443.956054976486</c:v>
              </c:pt>
              <c:pt idx="209">
                <c:v>94482.291092624859</c:v>
              </c:pt>
              <c:pt idx="210">
                <c:v>95465.789119784298</c:v>
              </c:pt>
              <c:pt idx="211">
                <c:v>96151.063952914876</c:v>
              </c:pt>
              <c:pt idx="212">
                <c:v>96740.374017689814</c:v>
              </c:pt>
              <c:pt idx="213">
                <c:v>97167.802222733691</c:v>
              </c:pt>
              <c:pt idx="214">
                <c:v>97670.161822247057</c:v>
              </c:pt>
              <c:pt idx="215">
                <c:v>98039.560451122874</c:v>
              </c:pt>
              <c:pt idx="216">
                <c:v>98846.716174004541</c:v>
              </c:pt>
              <c:pt idx="217">
                <c:v>99617.439088547661</c:v>
              </c:pt>
              <c:pt idx="218">
                <c:v>100394.17153848683</c:v>
              </c:pt>
              <c:pt idx="219">
                <c:v>100894.4653602078</c:v>
              </c:pt>
              <c:pt idx="220">
                <c:v>101298.60661559201</c:v>
              </c:pt>
              <c:pt idx="221">
                <c:v>101671.01001216585</c:v>
              </c:pt>
              <c:pt idx="222">
                <c:v>102656.94941307993</c:v>
              </c:pt>
              <c:pt idx="223">
                <c:v>102778.26690888764</c:v>
              </c:pt>
              <c:pt idx="224">
                <c:v>103779.60574425411</c:v>
              </c:pt>
              <c:pt idx="225">
                <c:v>104423.75281951796</c:v>
              </c:pt>
              <c:pt idx="226">
                <c:v>105380.77133133856</c:v>
              </c:pt>
              <c:pt idx="227">
                <c:v>106074.87266958208</c:v>
              </c:pt>
              <c:pt idx="228">
                <c:v>106064.91937658237</c:v>
              </c:pt>
              <c:pt idx="229">
                <c:v>107301.56908230034</c:v>
              </c:pt>
              <c:pt idx="230">
                <c:v>107636.22508466775</c:v>
              </c:pt>
              <c:pt idx="231">
                <c:v>108280.3721599316</c:v>
              </c:pt>
              <c:pt idx="232">
                <c:v>109306.50032880675</c:v>
              </c:pt>
              <c:pt idx="233">
                <c:v>109742.94283694473</c:v>
              </c:pt>
              <c:pt idx="234">
                <c:v>110874.61347121297</c:v>
              </c:pt>
              <c:pt idx="235">
                <c:v>111697.54422450926</c:v>
              </c:pt>
              <c:pt idx="236">
                <c:v>112119.15069213822</c:v>
              </c:pt>
              <c:pt idx="237">
                <c:v>112404.97921941275</c:v>
              </c:pt>
              <c:pt idx="238">
                <c:v>113220.21025548285</c:v>
              </c:pt>
              <c:pt idx="239">
                <c:v>113566.32193469896</c:v>
              </c:pt>
              <c:pt idx="240">
                <c:v>114229.43660605661</c:v>
              </c:pt>
              <c:pt idx="241">
                <c:v>114904.1947522441</c:v>
              </c:pt>
              <c:pt idx="242">
                <c:v>114652.54545753461</c:v>
              </c:pt>
              <c:pt idx="243">
                <c:v>106921.65376648144</c:v>
              </c:pt>
              <c:pt idx="244">
                <c:v>110637.04902508795</c:v>
              </c:pt>
              <c:pt idx="245">
                <c:v>114403.52533456088</c:v>
              </c:pt>
              <c:pt idx="246">
                <c:v>116877.01254397791</c:v>
              </c:pt>
              <c:pt idx="247">
                <c:v>117835.90903560977</c:v>
              </c:pt>
              <c:pt idx="248">
                <c:v>115817.64413244337</c:v>
              </c:pt>
              <c:pt idx="249">
                <c:v>120019.99955611087</c:v>
              </c:pt>
              <c:pt idx="250">
                <c:v>121134.76837207773</c:v>
              </c:pt>
              <c:pt idx="251">
                <c:v>122334.79747147601</c:v>
              </c:pt>
              <c:pt idx="252">
                <c:v>122922.60515240193</c:v>
              </c:pt>
              <c:pt idx="253">
                <c:v>123936.90204846612</c:v>
              </c:pt>
              <c:pt idx="254">
                <c:v>124529.21688093907</c:v>
              </c:pt>
              <c:pt idx="255">
                <c:v>125095.99118797883</c:v>
              </c:pt>
              <c:pt idx="256">
                <c:v>125600.41656528458</c:v>
              </c:pt>
              <c:pt idx="257">
                <c:v>125590.65107026602</c:v>
              </c:pt>
              <c:pt idx="258">
                <c:v>125897.5129714267</c:v>
              </c:pt>
              <c:pt idx="259">
                <c:v>126214.51596356821</c:v>
              </c:pt>
              <c:pt idx="260">
                <c:v>126600.25301680203</c:v>
              </c:pt>
              <c:pt idx="261">
                <c:v>127153.6936671818</c:v>
              </c:pt>
              <c:pt idx="262">
                <c:v>127484.7815079078</c:v>
              </c:pt>
              <c:pt idx="263">
                <c:v>128719.74103179561</c:v>
              </c:pt>
              <c:pt idx="264">
                <c:v>129211.39614638478</c:v>
              </c:pt>
              <c:pt idx="265">
                <c:v>130339.4986190116</c:v>
              </c:pt>
              <c:pt idx="266">
                <c:v>130697.06597507646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7DEF-644B-BB31-BAE5AD1FD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7908160"/>
        <c:axId val="98843519"/>
      </c:lineChart>
      <c:catAx>
        <c:axId val="1747908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43519"/>
        <c:crosses val="autoZero"/>
        <c:auto val="1"/>
        <c:lblAlgn val="ctr"/>
        <c:lblOffset val="100"/>
        <c:noMultiLvlLbl val="1"/>
      </c:catAx>
      <c:valAx>
        <c:axId val="9884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90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31750</xdr:colOff>
      <xdr:row>10</xdr:row>
      <xdr:rowOff>45720</xdr:rowOff>
    </xdr:from>
    <xdr:to>
      <xdr:col>13</xdr:col>
      <xdr:colOff>406400</xdr:colOff>
      <xdr:row>26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6F1F75-5606-A942-A1BD-EB5A441EA3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822960</xdr:colOff>
      <xdr:row>29</xdr:row>
      <xdr:rowOff>25400</xdr:rowOff>
    </xdr:from>
    <xdr:to>
      <xdr:col>13</xdr:col>
      <xdr:colOff>406400</xdr:colOff>
      <xdr:row>49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973E85-7B77-334B-8E0F-3E777E12C6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22BB011-1A8D-3540-B48D-12C81FDC26E8}" name="Table4" displayName="Table4" ref="A4:G10" headerRowCount="0" headerRowDxfId="9" dataDxfId="8" totalsRowDxfId="7">
  <tableColumns count="7">
    <tableColumn id="1" xr3:uid="{3E03A6CA-3691-CC4B-A88D-56DFF512BD2C}" name="Column1" totalsRowLabel="Total" dataDxfId="6"/>
    <tableColumn id="2" xr3:uid="{0CFC0264-C466-5448-83F7-E73BD6262A28}" name="Column2" dataDxfId="5"/>
    <tableColumn id="3" xr3:uid="{ADB6C603-8026-864C-B655-2EBEE3633A26}" name="Column3" dataDxfId="4"/>
    <tableColumn id="4" xr3:uid="{45A772DE-C6A0-6F4F-BB3C-530CA5A7DA52}" name="Column4" dataDxfId="3"/>
    <tableColumn id="5" xr3:uid="{80CB12DF-FC85-7542-97E3-21389243A080}" name="Column5" dataDxfId="2"/>
    <tableColumn id="6" xr3:uid="{0F54181D-3BA9-F642-B362-C83FE588ECF8}" name="Column6" dataDxfId="1"/>
    <tableColumn id="7" xr3:uid="{56AD28DD-5097-E942-852F-AF36FFEE0A69}" name="Column7" totalsRowFunction="sum" dataDxfId="0"/>
  </tableColumns>
  <tableStyleInfo name="TableStyleLight1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8EE3B-3A59-9142-8C8C-D76BBEFE6D17}">
  <dimension ref="A1:G29"/>
  <sheetViews>
    <sheetView zoomScale="158" workbookViewId="0">
      <selection activeCell="J13" sqref="J13"/>
    </sheetView>
  </sheetViews>
  <sheetFormatPr baseColWidth="10" defaultRowHeight="16" x14ac:dyDescent="0.2"/>
  <sheetData>
    <row r="1" spans="1:7" ht="16" customHeight="1" x14ac:dyDescent="0.2">
      <c r="A1" s="44" t="s">
        <v>5</v>
      </c>
      <c r="B1" s="44"/>
      <c r="C1" s="44"/>
      <c r="D1" s="44"/>
      <c r="E1" s="44"/>
      <c r="F1" s="44"/>
      <c r="G1" s="44"/>
    </row>
    <row r="2" spans="1:7" x14ac:dyDescent="0.2">
      <c r="A2" s="44"/>
      <c r="B2" s="44"/>
      <c r="C2" s="44"/>
      <c r="D2" s="44"/>
      <c r="E2" s="44"/>
      <c r="F2" s="44"/>
      <c r="G2" s="44"/>
    </row>
    <row r="3" spans="1:7" x14ac:dyDescent="0.2">
      <c r="A3" s="44"/>
      <c r="B3" s="44"/>
      <c r="C3" s="44"/>
      <c r="D3" s="44"/>
      <c r="E3" s="44"/>
      <c r="F3" s="44"/>
      <c r="G3" s="44"/>
    </row>
    <row r="4" spans="1:7" x14ac:dyDescent="0.2">
      <c r="C4" t="s">
        <v>0</v>
      </c>
    </row>
    <row r="5" spans="1:7" x14ac:dyDescent="0.2">
      <c r="C5">
        <v>1</v>
      </c>
      <c r="D5">
        <v>2</v>
      </c>
      <c r="E5">
        <v>3</v>
      </c>
      <c r="F5">
        <v>4</v>
      </c>
      <c r="G5">
        <v>5</v>
      </c>
    </row>
    <row r="6" spans="1:7" x14ac:dyDescent="0.2">
      <c r="A6" t="s">
        <v>1</v>
      </c>
      <c r="B6" t="s">
        <v>2</v>
      </c>
      <c r="C6">
        <v>20</v>
      </c>
      <c r="D6">
        <v>21</v>
      </c>
      <c r="E6">
        <v>22</v>
      </c>
      <c r="F6">
        <v>23</v>
      </c>
      <c r="G6">
        <v>24</v>
      </c>
    </row>
    <row r="7" spans="1:7" x14ac:dyDescent="0.2">
      <c r="B7" t="s">
        <v>3</v>
      </c>
      <c r="C7">
        <v>60</v>
      </c>
      <c r="D7">
        <v>59</v>
      </c>
      <c r="E7">
        <v>58</v>
      </c>
      <c r="F7">
        <v>57</v>
      </c>
      <c r="G7">
        <v>56</v>
      </c>
    </row>
    <row r="9" spans="1:7" x14ac:dyDescent="0.2">
      <c r="A9" t="s">
        <v>4</v>
      </c>
      <c r="B9" t="s">
        <v>2</v>
      </c>
      <c r="C9">
        <v>75</v>
      </c>
      <c r="D9">
        <v>76</v>
      </c>
      <c r="E9">
        <v>77</v>
      </c>
      <c r="F9">
        <v>78</v>
      </c>
      <c r="G9">
        <v>79</v>
      </c>
    </row>
    <row r="10" spans="1:7" x14ac:dyDescent="0.2">
      <c r="B10" t="s">
        <v>3</v>
      </c>
      <c r="C10">
        <v>25</v>
      </c>
      <c r="D10">
        <v>30</v>
      </c>
      <c r="E10">
        <v>35</v>
      </c>
      <c r="F10">
        <v>40</v>
      </c>
      <c r="G10">
        <v>45</v>
      </c>
    </row>
    <row r="12" spans="1:7" x14ac:dyDescent="0.2">
      <c r="A12" s="32" t="s">
        <v>6</v>
      </c>
      <c r="B12" s="15"/>
      <c r="C12" s="33">
        <f>C6*C9+C7*C10</f>
        <v>3000</v>
      </c>
      <c r="D12" s="15">
        <f>D6*D9+D7*D10</f>
        <v>3366</v>
      </c>
      <c r="E12" s="15">
        <f t="shared" ref="E12:G12" si="0">E6*E9+E7*E10</f>
        <v>3724</v>
      </c>
      <c r="F12" s="33">
        <f t="shared" si="0"/>
        <v>4074</v>
      </c>
      <c r="G12" s="34">
        <f t="shared" si="0"/>
        <v>4416</v>
      </c>
    </row>
    <row r="13" spans="1:7" x14ac:dyDescent="0.2">
      <c r="A13" s="35"/>
      <c r="B13" s="29"/>
      <c r="C13" s="29"/>
      <c r="D13" s="36">
        <f>(D12-C12)/C12</f>
        <v>0.122</v>
      </c>
      <c r="E13" s="36">
        <f t="shared" ref="E13:G13" si="1">(E12-D12)/D12</f>
        <v>0.10635769459298872</v>
      </c>
      <c r="F13" s="36">
        <f t="shared" si="1"/>
        <v>9.3984962406015032E-2</v>
      </c>
      <c r="G13" s="37">
        <f t="shared" si="1"/>
        <v>8.3946980854197342E-2</v>
      </c>
    </row>
    <row r="14" spans="1:7" x14ac:dyDescent="0.2">
      <c r="A14" s="1"/>
    </row>
    <row r="15" spans="1:7" x14ac:dyDescent="0.2">
      <c r="A15" s="32" t="s">
        <v>7</v>
      </c>
      <c r="B15" s="15"/>
      <c r="C15" s="15">
        <f>C12</f>
        <v>3000</v>
      </c>
      <c r="D15" s="15">
        <f>D9*$C$6+D10*$C$7</f>
        <v>3320</v>
      </c>
      <c r="E15" s="15">
        <f t="shared" ref="E15:G15" si="2">E9*$C$6+E10*$C$7</f>
        <v>3640</v>
      </c>
      <c r="F15" s="15">
        <f>F9*$C$6+F10*$C$7</f>
        <v>3960</v>
      </c>
      <c r="G15" s="34">
        <f t="shared" si="2"/>
        <v>4280</v>
      </c>
    </row>
    <row r="16" spans="1:7" x14ac:dyDescent="0.2">
      <c r="A16" s="39"/>
      <c r="D16" s="40">
        <f>(D15-C15)/C15</f>
        <v>0.10666666666666667</v>
      </c>
      <c r="E16" s="40">
        <f t="shared" ref="E16:G16" si="3">(E15-D15)/D15</f>
        <v>9.6385542168674704E-2</v>
      </c>
      <c r="F16" s="40">
        <f t="shared" si="3"/>
        <v>8.7912087912087919E-2</v>
      </c>
      <c r="G16" s="41">
        <f t="shared" si="3"/>
        <v>8.0808080808080815E-2</v>
      </c>
    </row>
    <row r="17" spans="1:7" x14ac:dyDescent="0.2">
      <c r="A17" s="21"/>
      <c r="G17" s="20"/>
    </row>
    <row r="18" spans="1:7" x14ac:dyDescent="0.2">
      <c r="A18" s="38" t="s">
        <v>8</v>
      </c>
      <c r="C18">
        <f>$F$6*C9+$F$7*C10</f>
        <v>3150</v>
      </c>
      <c r="D18">
        <f t="shared" ref="D18:G18" si="4">$F$6*D9+$F$7*D10</f>
        <v>3458</v>
      </c>
      <c r="E18">
        <f>$F$6*E9+$F$7*E10</f>
        <v>3766</v>
      </c>
      <c r="F18">
        <f>$F$6*F9+$F$7*F10</f>
        <v>4074</v>
      </c>
      <c r="G18" s="20">
        <f t="shared" si="4"/>
        <v>4382</v>
      </c>
    </row>
    <row r="19" spans="1:7" x14ac:dyDescent="0.2">
      <c r="A19" s="28"/>
      <c r="B19" s="29"/>
      <c r="C19" s="29"/>
      <c r="D19" s="42">
        <f>(D18-C18)/C18</f>
        <v>9.7777777777777783E-2</v>
      </c>
      <c r="E19" s="42">
        <f t="shared" ref="E19:G19" si="5">(E18-D18)/D18</f>
        <v>8.9068825910931168E-2</v>
      </c>
      <c r="F19" s="42">
        <f t="shared" si="5"/>
        <v>8.1784386617100371E-2</v>
      </c>
      <c r="G19" s="43">
        <f t="shared" si="5"/>
        <v>7.560137457044673E-2</v>
      </c>
    </row>
    <row r="21" spans="1:7" x14ac:dyDescent="0.2">
      <c r="A21" s="14" t="s">
        <v>9</v>
      </c>
      <c r="B21" s="15"/>
      <c r="C21" s="16">
        <f>1</f>
        <v>1</v>
      </c>
      <c r="D21" s="16">
        <f>C21*(D9*C6+D10*C7)/(C9*C6+C10*C7)</f>
        <v>1.1066666666666667</v>
      </c>
      <c r="E21" s="16">
        <f>(E9*D6+E10*D7)/(D9*D6+D10*D7)*D21</f>
        <v>1.2105605070310954</v>
      </c>
      <c r="F21" s="16">
        <f>(F9*E6+F10*E7)/(E9*E6+E7*E10)*E21</f>
        <v>1.3119823325396083</v>
      </c>
      <c r="G21" s="17">
        <f>(G9*F6+G10*F7)/(F9*F6+F7*F10)*F21</f>
        <v>1.4111700002917436</v>
      </c>
    </row>
    <row r="22" spans="1:7" x14ac:dyDescent="0.2">
      <c r="A22" s="18" t="s">
        <v>11</v>
      </c>
      <c r="D22" s="19" t="s">
        <v>10</v>
      </c>
      <c r="G22" s="20"/>
    </row>
    <row r="23" spans="1:7" x14ac:dyDescent="0.2">
      <c r="A23" s="21"/>
      <c r="C23" s="22">
        <f>C21*C12</f>
        <v>3000</v>
      </c>
      <c r="D23" s="23">
        <f>D21*C12</f>
        <v>3320</v>
      </c>
      <c r="E23" s="23">
        <f>E21*C12</f>
        <v>3631.6815210932864</v>
      </c>
      <c r="F23" s="23">
        <f>F21*C12</f>
        <v>3935.9469976188248</v>
      </c>
      <c r="G23" s="24">
        <f>G21*C12</f>
        <v>4233.5100008752306</v>
      </c>
    </row>
    <row r="24" spans="1:7" x14ac:dyDescent="0.2">
      <c r="A24" s="21"/>
      <c r="D24" s="25">
        <f>(D23-C23)/C23</f>
        <v>0.10666666666666667</v>
      </c>
      <c r="E24" s="25">
        <f t="shared" ref="E24:G24" si="6">(E23-D23)/D23</f>
        <v>9.3879976232917592E-2</v>
      </c>
      <c r="F24" s="25">
        <f t="shared" si="6"/>
        <v>8.3780880773361946E-2</v>
      </c>
      <c r="G24" s="26">
        <f t="shared" si="6"/>
        <v>7.5601374570446703E-2</v>
      </c>
    </row>
    <row r="25" spans="1:7" x14ac:dyDescent="0.2">
      <c r="A25" s="21"/>
      <c r="G25" s="20"/>
    </row>
    <row r="26" spans="1:7" x14ac:dyDescent="0.2">
      <c r="A26" s="18" t="s">
        <v>9</v>
      </c>
      <c r="C26">
        <f>C21/F21</f>
        <v>0.76220538584867747</v>
      </c>
      <c r="D26">
        <f>D21/F21</f>
        <v>0.84350729367253641</v>
      </c>
      <c r="E26">
        <f>E21/F21</f>
        <v>0.92269573835480667</v>
      </c>
      <c r="F26">
        <f>F21/F21</f>
        <v>1</v>
      </c>
      <c r="G26" s="20">
        <f>G21/F21</f>
        <v>1.0756013745704467</v>
      </c>
    </row>
    <row r="27" spans="1:7" x14ac:dyDescent="0.2">
      <c r="A27" s="18" t="s">
        <v>12</v>
      </c>
      <c r="D27" s="25">
        <f>(D26-C26)/C26</f>
        <v>0.10666666666666667</v>
      </c>
      <c r="E27" s="25">
        <f t="shared" ref="E27:G27" si="7">(E26-D26)/D26</f>
        <v>9.3879976232917481E-2</v>
      </c>
      <c r="F27" s="25">
        <f t="shared" si="7"/>
        <v>8.3780880773362057E-2</v>
      </c>
      <c r="G27" s="26">
        <f t="shared" si="7"/>
        <v>7.5601374570446689E-2</v>
      </c>
    </row>
    <row r="28" spans="1:7" x14ac:dyDescent="0.2">
      <c r="A28" s="21"/>
      <c r="C28">
        <f t="shared" ref="C28:E28" si="8">C26*$F$12</f>
        <v>3105.224741947512</v>
      </c>
      <c r="D28">
        <f t="shared" si="8"/>
        <v>3436.4487144219133</v>
      </c>
      <c r="E28">
        <f t="shared" si="8"/>
        <v>3759.0624380574823</v>
      </c>
      <c r="F28" s="27">
        <f>F26*$F$12</f>
        <v>4074</v>
      </c>
      <c r="G28" s="20">
        <f>G26*$F$12</f>
        <v>4382</v>
      </c>
    </row>
    <row r="29" spans="1:7" x14ac:dyDescent="0.2">
      <c r="A29" s="28"/>
      <c r="B29" s="29"/>
      <c r="C29" s="29"/>
      <c r="D29" s="30">
        <f>(D28-C28)/C28</f>
        <v>0.10666666666666667</v>
      </c>
      <c r="E29" s="30">
        <f t="shared" ref="E29:G29" si="9">(E28-D28)/D28</f>
        <v>9.3879976232917439E-2</v>
      </c>
      <c r="F29" s="30">
        <f t="shared" si="9"/>
        <v>8.3780880773362085E-2</v>
      </c>
      <c r="G29" s="31">
        <f t="shared" si="9"/>
        <v>7.560137457044673E-2</v>
      </c>
    </row>
  </sheetData>
  <mergeCells count="1">
    <mergeCell ref="A1:G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675AF-9630-5C4E-8498-5A6342642DAA}">
  <dimension ref="A1:I268"/>
  <sheetViews>
    <sheetView tabSelected="1" workbookViewId="0">
      <selection activeCell="T8" sqref="T8"/>
    </sheetView>
  </sheetViews>
  <sheetFormatPr baseColWidth="10" defaultRowHeight="16" x14ac:dyDescent="0.2"/>
  <cols>
    <col min="1" max="3" width="10.83203125" style="4"/>
    <col min="4" max="4" width="11.6640625" style="4" customWidth="1"/>
    <col min="5" max="7" width="10.83203125" style="4"/>
    <col min="8" max="8" width="17.5" style="4" bestFit="1" customWidth="1"/>
    <col min="9" max="16384" width="10.83203125" style="4"/>
  </cols>
  <sheetData>
    <row r="1" spans="1:9" ht="34" x14ac:dyDescent="0.2">
      <c r="A1" s="2"/>
      <c r="B1" s="3" t="s">
        <v>17</v>
      </c>
      <c r="C1" s="3" t="s">
        <v>18</v>
      </c>
      <c r="D1" s="4" t="s">
        <v>13</v>
      </c>
      <c r="E1" s="3" t="s">
        <v>19</v>
      </c>
    </row>
    <row r="2" spans="1:9" x14ac:dyDescent="0.2">
      <c r="A2" s="5">
        <v>21794</v>
      </c>
      <c r="B2" s="6">
        <v>80842</v>
      </c>
      <c r="C2" s="6">
        <v>3978</v>
      </c>
      <c r="D2" s="7">
        <f>B2/$B$84</f>
        <v>0.44302326855840157</v>
      </c>
      <c r="E2" s="4">
        <f>D2*$C$84</f>
        <v>15181.964390227864</v>
      </c>
      <c r="G2" s="4" t="s">
        <v>20</v>
      </c>
      <c r="H2" s="4" t="s">
        <v>23</v>
      </c>
    </row>
    <row r="3" spans="1:9" x14ac:dyDescent="0.2">
      <c r="A3" s="5">
        <v>21885</v>
      </c>
      <c r="B3" s="6">
        <v>81602</v>
      </c>
      <c r="C3" s="6">
        <v>4094</v>
      </c>
      <c r="D3" s="7">
        <f t="shared" ref="D3:D66" si="0">B3/$B$84</f>
        <v>0.44718815418845009</v>
      </c>
      <c r="E3" s="4">
        <f t="shared" ref="E3:E66" si="1">D3*$C$84</f>
        <v>15324.690855883997</v>
      </c>
      <c r="G3" s="8" t="s">
        <v>14</v>
      </c>
      <c r="H3" s="8" t="s">
        <v>15</v>
      </c>
      <c r="I3" s="8" t="s">
        <v>16</v>
      </c>
    </row>
    <row r="4" spans="1:9" x14ac:dyDescent="0.2">
      <c r="A4" s="5">
        <v>21976</v>
      </c>
      <c r="B4" s="6">
        <v>82016</v>
      </c>
      <c r="C4" s="6">
        <v>4173</v>
      </c>
      <c r="D4" s="7">
        <f>B4/$B$84</f>
        <v>0.44945692083429234</v>
      </c>
      <c r="E4" s="4">
        <f t="shared" si="1"/>
        <v>15402.439220070364</v>
      </c>
      <c r="G4" s="12">
        <f>(E264-E263)/E263*100</f>
        <v>0.26038397405317043</v>
      </c>
      <c r="H4" s="13">
        <f>((1+G4/100)^4-1)*100</f>
        <v>1.0456109512400946</v>
      </c>
      <c r="I4" s="13">
        <f>(E264-E260)/E260*100</f>
        <v>1.2607624241483988</v>
      </c>
    </row>
    <row r="5" spans="1:9" x14ac:dyDescent="0.2">
      <c r="A5" s="5">
        <v>22068</v>
      </c>
      <c r="B5" s="6">
        <v>84257</v>
      </c>
      <c r="C5" s="6">
        <v>4385</v>
      </c>
      <c r="D5" s="7">
        <f>B5/$B$84</f>
        <v>0.46173785333026446</v>
      </c>
      <c r="E5" s="4">
        <f t="shared" si="1"/>
        <v>15823.294495774833</v>
      </c>
      <c r="G5" s="12">
        <f>(E265-E264)/E264*100</f>
        <v>0.96871133109421881</v>
      </c>
      <c r="H5" s="13">
        <f>((1+G5/100)^4-1)*100</f>
        <v>3.9315139196758331</v>
      </c>
      <c r="I5" s="13">
        <f>(E265-E261)/E261*100</f>
        <v>1.9848945654955688</v>
      </c>
    </row>
    <row r="6" spans="1:9" x14ac:dyDescent="0.2">
      <c r="A6" s="5">
        <v>22160</v>
      </c>
      <c r="B6" s="6">
        <v>84438</v>
      </c>
      <c r="C6" s="6">
        <v>4407</v>
      </c>
      <c r="D6" s="7">
        <f t="shared" si="0"/>
        <v>0.46272975372373654</v>
      </c>
      <c r="E6" s="4">
        <f t="shared" si="1"/>
        <v>15857.285930358727</v>
      </c>
      <c r="G6" s="12">
        <f>(E266-E265)/E265*100</f>
        <v>0.38195781831764708</v>
      </c>
      <c r="H6" s="13">
        <f t="shared" ref="H6:H7" si="2">((1+G6/100)^4-1)*100</f>
        <v>1.53660709085508</v>
      </c>
      <c r="I6" s="13">
        <f>(E266-E262)/E262*100</f>
        <v>2.0625101983297034</v>
      </c>
    </row>
    <row r="7" spans="1:9" x14ac:dyDescent="0.2">
      <c r="A7" s="5">
        <v>22251</v>
      </c>
      <c r="B7" s="6">
        <v>84286</v>
      </c>
      <c r="C7" s="6">
        <v>4435</v>
      </c>
      <c r="D7" s="7">
        <f t="shared" si="0"/>
        <v>0.46189677659772688</v>
      </c>
      <c r="E7" s="4">
        <f t="shared" si="1"/>
        <v>15828.740637227502</v>
      </c>
      <c r="G7" s="12">
        <f>(E267-E266)/E266*100</f>
        <v>0.87306731934757886</v>
      </c>
      <c r="H7" s="13">
        <f t="shared" si="2"/>
        <v>3.5382708480756309</v>
      </c>
      <c r="I7" s="13">
        <f>(E267-E263)/E263*100</f>
        <v>2.5054757435269526</v>
      </c>
    </row>
    <row r="8" spans="1:9" x14ac:dyDescent="0.2">
      <c r="A8" s="5">
        <v>22341</v>
      </c>
      <c r="B8" s="6">
        <v>84539</v>
      </c>
      <c r="C8" s="6">
        <v>4427</v>
      </c>
      <c r="D8" s="7">
        <f t="shared" si="0"/>
        <v>0.46328324510351931</v>
      </c>
      <c r="E8" s="4">
        <f t="shared" si="1"/>
        <v>15876.253526452503</v>
      </c>
    </row>
    <row r="9" spans="1:9" x14ac:dyDescent="0.2">
      <c r="A9" s="5">
        <v>22433</v>
      </c>
      <c r="B9" s="6">
        <v>83609</v>
      </c>
      <c r="C9" s="6">
        <v>4329</v>
      </c>
      <c r="D9" s="7">
        <f t="shared" si="0"/>
        <v>0.45818674031938095</v>
      </c>
      <c r="E9" s="4">
        <f t="shared" si="1"/>
        <v>15701.601404004865</v>
      </c>
    </row>
    <row r="10" spans="1:9" x14ac:dyDescent="0.2">
      <c r="A10" s="5">
        <v>22525</v>
      </c>
      <c r="B10" s="6">
        <v>83006</v>
      </c>
      <c r="C10" s="6">
        <v>4337</v>
      </c>
      <c r="D10" s="7">
        <f t="shared" si="0"/>
        <v>0.45488223237869768</v>
      </c>
      <c r="E10" s="4">
        <f t="shared" si="1"/>
        <v>15588.35922138559</v>
      </c>
      <c r="G10" s="4" t="s">
        <v>21</v>
      </c>
    </row>
    <row r="11" spans="1:9" x14ac:dyDescent="0.2">
      <c r="A11" s="5">
        <v>22616</v>
      </c>
      <c r="B11" s="6">
        <v>83959</v>
      </c>
      <c r="C11" s="6">
        <v>4374</v>
      </c>
      <c r="D11" s="7">
        <f t="shared" si="0"/>
        <v>0.46010477975427178</v>
      </c>
      <c r="E11" s="4">
        <f t="shared" si="1"/>
        <v>15767.33069739914</v>
      </c>
    </row>
    <row r="12" spans="1:9" x14ac:dyDescent="0.2">
      <c r="A12" s="5">
        <v>22706</v>
      </c>
      <c r="B12" s="6">
        <v>86308</v>
      </c>
      <c r="C12" s="6">
        <v>4505</v>
      </c>
      <c r="D12" s="7">
        <f t="shared" si="0"/>
        <v>0.47297756441872446</v>
      </c>
      <c r="E12" s="4">
        <f t="shared" si="1"/>
        <v>16208.468155065269</v>
      </c>
    </row>
    <row r="13" spans="1:9" x14ac:dyDescent="0.2">
      <c r="A13" s="5">
        <v>22798</v>
      </c>
      <c r="B13" s="6">
        <v>87969</v>
      </c>
      <c r="C13" s="6">
        <v>4602</v>
      </c>
      <c r="D13" s="7">
        <f t="shared" si="0"/>
        <v>0.48208003156544899</v>
      </c>
      <c r="E13" s="4">
        <f t="shared" si="1"/>
        <v>16520.40060171637</v>
      </c>
    </row>
    <row r="14" spans="1:9" x14ac:dyDescent="0.2">
      <c r="A14" s="5">
        <v>22890</v>
      </c>
      <c r="B14" s="6">
        <v>88673</v>
      </c>
      <c r="C14" s="6">
        <v>4659</v>
      </c>
      <c r="D14" s="7">
        <f t="shared" si="0"/>
        <v>0.48593803088591503</v>
      </c>
      <c r="E14" s="4">
        <f t="shared" si="1"/>
        <v>16652.610380429422</v>
      </c>
    </row>
    <row r="15" spans="1:9" x14ac:dyDescent="0.2">
      <c r="A15" s="5">
        <v>22981</v>
      </c>
      <c r="B15" s="6">
        <v>90263</v>
      </c>
      <c r="C15" s="6">
        <v>4789</v>
      </c>
      <c r="D15" s="7">
        <f t="shared" si="0"/>
        <v>0.49465141003299029</v>
      </c>
      <c r="E15" s="4">
        <f t="shared" si="1"/>
        <v>16951.209170420545</v>
      </c>
    </row>
    <row r="16" spans="1:9" x14ac:dyDescent="0.2">
      <c r="A16" s="5">
        <v>23071</v>
      </c>
      <c r="B16" s="6">
        <v>92352</v>
      </c>
      <c r="C16" s="6">
        <v>4933</v>
      </c>
      <c r="D16" s="7">
        <f t="shared" si="0"/>
        <v>0.50609936540295264</v>
      </c>
      <c r="E16" s="4">
        <f t="shared" si="1"/>
        <v>17343.519152993784</v>
      </c>
    </row>
    <row r="17" spans="1:7" x14ac:dyDescent="0.2">
      <c r="A17" s="5">
        <v>23163</v>
      </c>
      <c r="B17" s="6">
        <v>91159</v>
      </c>
      <c r="C17" s="6">
        <v>4897</v>
      </c>
      <c r="D17" s="7">
        <f t="shared" si="0"/>
        <v>0.4995615909863107</v>
      </c>
      <c r="E17" s="4">
        <f t="shared" si="1"/>
        <v>17119.47616150988</v>
      </c>
    </row>
    <row r="18" spans="1:7" x14ac:dyDescent="0.2">
      <c r="A18" s="5">
        <v>23255</v>
      </c>
      <c r="B18" s="6">
        <v>94901</v>
      </c>
      <c r="C18" s="6">
        <v>5158</v>
      </c>
      <c r="D18" s="7">
        <f t="shared" si="0"/>
        <v>0.52006817260162874</v>
      </c>
      <c r="E18" s="4">
        <f t="shared" si="1"/>
        <v>17822.216206885216</v>
      </c>
    </row>
    <row r="19" spans="1:7" x14ac:dyDescent="0.2">
      <c r="A19" s="5">
        <v>23346</v>
      </c>
      <c r="B19" s="6">
        <v>96925</v>
      </c>
      <c r="C19" s="6">
        <v>5265</v>
      </c>
      <c r="D19" s="7">
        <f t="shared" si="0"/>
        <v>0.53115992064796858</v>
      </c>
      <c r="E19" s="4">
        <f t="shared" si="1"/>
        <v>18202.319320685234</v>
      </c>
    </row>
    <row r="20" spans="1:7" x14ac:dyDescent="0.2">
      <c r="A20" s="5">
        <v>23437</v>
      </c>
      <c r="B20" s="6">
        <v>96758</v>
      </c>
      <c r="C20" s="6">
        <v>5327</v>
      </c>
      <c r="D20" s="7">
        <f t="shared" si="0"/>
        <v>0.53024474183189207</v>
      </c>
      <c r="E20" s="4">
        <f t="shared" si="1"/>
        <v>18170.957057837109</v>
      </c>
    </row>
    <row r="21" spans="1:7" x14ac:dyDescent="0.2">
      <c r="A21" s="5">
        <v>23529</v>
      </c>
      <c r="B21" s="6">
        <v>99153</v>
      </c>
      <c r="C21" s="6">
        <v>5509</v>
      </c>
      <c r="D21" s="7">
        <f t="shared" si="0"/>
        <v>0.54336961167921616</v>
      </c>
      <c r="E21" s="4">
        <f t="shared" si="1"/>
        <v>18620.733222635059</v>
      </c>
    </row>
    <row r="22" spans="1:7" x14ac:dyDescent="0.2">
      <c r="A22" s="5">
        <v>23621</v>
      </c>
      <c r="B22" s="6">
        <v>99760</v>
      </c>
      <c r="C22" s="6">
        <v>5593</v>
      </c>
      <c r="D22" s="7">
        <f t="shared" si="0"/>
        <v>0.54669604007058381</v>
      </c>
      <c r="E22" s="4">
        <f t="shared" si="1"/>
        <v>18734.726597178837</v>
      </c>
    </row>
    <row r="23" spans="1:7" x14ac:dyDescent="0.2">
      <c r="A23" s="5">
        <v>23712</v>
      </c>
      <c r="B23" s="6">
        <v>102593</v>
      </c>
      <c r="C23" s="6">
        <v>5773</v>
      </c>
      <c r="D23" s="7">
        <f t="shared" si="0"/>
        <v>0.56222119926785696</v>
      </c>
      <c r="E23" s="4">
        <f t="shared" si="1"/>
        <v>19266.758277710189</v>
      </c>
    </row>
    <row r="24" spans="1:7" x14ac:dyDescent="0.2">
      <c r="A24" s="5">
        <v>23802</v>
      </c>
      <c r="B24" s="6">
        <v>103470</v>
      </c>
      <c r="C24" s="6">
        <v>5860</v>
      </c>
      <c r="D24" s="7">
        <f t="shared" si="0"/>
        <v>0.56702725808042609</v>
      </c>
      <c r="E24" s="4">
        <f t="shared" si="1"/>
        <v>19431.457107158123</v>
      </c>
    </row>
    <row r="25" spans="1:7" x14ac:dyDescent="0.2">
      <c r="A25" s="5">
        <v>23894</v>
      </c>
      <c r="B25" s="6">
        <v>105090</v>
      </c>
      <c r="C25" s="6">
        <v>5974</v>
      </c>
      <c r="D25" s="7">
        <f t="shared" si="0"/>
        <v>0.57590504060763492</v>
      </c>
      <c r="E25" s="4">
        <f t="shared" si="1"/>
        <v>19735.689836583042</v>
      </c>
    </row>
    <row r="26" spans="1:7" x14ac:dyDescent="0.2">
      <c r="A26" s="5">
        <v>23986</v>
      </c>
      <c r="B26" s="6">
        <v>104774</v>
      </c>
      <c r="C26" s="6">
        <v>5994</v>
      </c>
      <c r="D26" s="7">
        <f t="shared" si="0"/>
        <v>0.57417332500356211</v>
      </c>
      <c r="E26" s="4">
        <f t="shared" si="1"/>
        <v>19676.345674547068</v>
      </c>
    </row>
    <row r="27" spans="1:7" x14ac:dyDescent="0.2">
      <c r="A27" s="5">
        <v>24077</v>
      </c>
      <c r="B27" s="6">
        <v>105032</v>
      </c>
      <c r="C27" s="6">
        <v>6066</v>
      </c>
      <c r="D27" s="7">
        <f t="shared" si="0"/>
        <v>0.57558719407271008</v>
      </c>
      <c r="E27" s="4">
        <f t="shared" si="1"/>
        <v>19724.797553677701</v>
      </c>
    </row>
    <row r="28" spans="1:7" x14ac:dyDescent="0.2">
      <c r="A28" s="5">
        <v>24167</v>
      </c>
      <c r="B28" s="6">
        <v>104732</v>
      </c>
      <c r="C28" s="6">
        <v>6101</v>
      </c>
      <c r="D28" s="7">
        <f t="shared" si="0"/>
        <v>0.57394316027137515</v>
      </c>
      <c r="E28" s="4">
        <f t="shared" si="1"/>
        <v>19668.458159339756</v>
      </c>
    </row>
    <row r="29" spans="1:7" x14ac:dyDescent="0.2">
      <c r="A29" s="5">
        <v>24259</v>
      </c>
      <c r="B29" s="6">
        <v>106160</v>
      </c>
      <c r="C29" s="6">
        <v>6260</v>
      </c>
      <c r="D29" s="7">
        <f t="shared" si="0"/>
        <v>0.58176876116572962</v>
      </c>
      <c r="E29" s="4">
        <f t="shared" si="1"/>
        <v>19936.633676388388</v>
      </c>
      <c r="G29" s="4" t="s">
        <v>22</v>
      </c>
    </row>
    <row r="30" spans="1:7" x14ac:dyDescent="0.2">
      <c r="A30" s="5">
        <v>24351</v>
      </c>
      <c r="B30" s="6">
        <v>109160</v>
      </c>
      <c r="C30" s="6">
        <v>6546</v>
      </c>
      <c r="D30" s="7">
        <f t="shared" si="0"/>
        <v>0.59820909917907916</v>
      </c>
      <c r="E30" s="4">
        <f t="shared" si="1"/>
        <v>20500.027619767865</v>
      </c>
    </row>
    <row r="31" spans="1:7" x14ac:dyDescent="0.2">
      <c r="A31" s="5">
        <v>24442</v>
      </c>
      <c r="B31" s="6">
        <v>109881</v>
      </c>
      <c r="C31" s="6">
        <v>6711</v>
      </c>
      <c r="D31" s="7">
        <f t="shared" si="0"/>
        <v>0.60216026041495418</v>
      </c>
      <c r="E31" s="4">
        <f t="shared" si="1"/>
        <v>20635.429964160066</v>
      </c>
    </row>
    <row r="32" spans="1:7" x14ac:dyDescent="0.2">
      <c r="A32" s="5">
        <v>24532</v>
      </c>
      <c r="B32" s="6">
        <v>114174</v>
      </c>
      <c r="C32" s="6">
        <v>6948</v>
      </c>
      <c r="D32" s="7">
        <f t="shared" si="0"/>
        <v>0.62568638411205735</v>
      </c>
      <c r="E32" s="4">
        <f t="shared" si="1"/>
        <v>21441.646697136093</v>
      </c>
    </row>
    <row r="33" spans="1:5" x14ac:dyDescent="0.2">
      <c r="A33" s="5">
        <v>24624</v>
      </c>
      <c r="B33" s="6">
        <v>114016</v>
      </c>
      <c r="C33" s="6">
        <v>6998</v>
      </c>
      <c r="D33" s="7">
        <f t="shared" si="0"/>
        <v>0.62482052631002094</v>
      </c>
      <c r="E33" s="4">
        <f t="shared" si="1"/>
        <v>21411.974616118106</v>
      </c>
    </row>
    <row r="34" spans="1:5" x14ac:dyDescent="0.2">
      <c r="A34" s="5">
        <v>24716</v>
      </c>
      <c r="B34" s="6">
        <v>116153</v>
      </c>
      <c r="C34" s="6">
        <v>7105</v>
      </c>
      <c r="D34" s="7">
        <f t="shared" si="0"/>
        <v>0.63653152708819694</v>
      </c>
      <c r="E34" s="4">
        <f t="shared" si="1"/>
        <v>21813.29890178542</v>
      </c>
    </row>
    <row r="35" spans="1:5" x14ac:dyDescent="0.2">
      <c r="A35" s="5">
        <v>24807</v>
      </c>
      <c r="B35" s="6">
        <v>117162</v>
      </c>
      <c r="C35" s="6">
        <v>7246</v>
      </c>
      <c r="D35" s="7">
        <f t="shared" si="0"/>
        <v>0.64206096077335351</v>
      </c>
      <c r="E35" s="4">
        <f t="shared" si="1"/>
        <v>22002.78706474205</v>
      </c>
    </row>
    <row r="36" spans="1:5" x14ac:dyDescent="0.2">
      <c r="A36" s="5">
        <v>24898</v>
      </c>
      <c r="B36" s="6">
        <v>116120</v>
      </c>
      <c r="C36" s="6">
        <v>7356</v>
      </c>
      <c r="D36" s="7">
        <f t="shared" si="0"/>
        <v>0.63635068337005007</v>
      </c>
      <c r="E36" s="4">
        <f t="shared" si="1"/>
        <v>21807.101568408245</v>
      </c>
    </row>
    <row r="37" spans="1:5" x14ac:dyDescent="0.2">
      <c r="A37" s="5">
        <v>24990</v>
      </c>
      <c r="B37" s="6">
        <v>120583</v>
      </c>
      <c r="C37" s="6">
        <v>7543</v>
      </c>
      <c r="D37" s="7">
        <f t="shared" si="0"/>
        <v>0.66080842622124314</v>
      </c>
      <c r="E37" s="4">
        <f t="shared" si="1"/>
        <v>22645.243958175783</v>
      </c>
    </row>
    <row r="38" spans="1:5" x14ac:dyDescent="0.2">
      <c r="A38" s="5">
        <v>25082</v>
      </c>
      <c r="B38" s="6">
        <v>122177</v>
      </c>
      <c r="C38" s="6">
        <v>7767</v>
      </c>
      <c r="D38" s="7">
        <f t="shared" si="0"/>
        <v>0.66954372581900279</v>
      </c>
      <c r="E38" s="4">
        <f t="shared" si="1"/>
        <v>22944.593940091407</v>
      </c>
    </row>
    <row r="39" spans="1:5" x14ac:dyDescent="0.2">
      <c r="A39" s="5">
        <v>25173</v>
      </c>
      <c r="B39" s="6">
        <v>126736</v>
      </c>
      <c r="C39" s="6">
        <v>8181</v>
      </c>
      <c r="D39" s="7">
        <f t="shared" si="0"/>
        <v>0.69452755948662304</v>
      </c>
      <c r="E39" s="4">
        <f t="shared" si="1"/>
        <v>23800.764936047086</v>
      </c>
    </row>
    <row r="40" spans="1:5" x14ac:dyDescent="0.2">
      <c r="A40" s="5">
        <v>25263</v>
      </c>
      <c r="B40" s="6">
        <v>125871</v>
      </c>
      <c r="C40" s="6">
        <v>8295</v>
      </c>
      <c r="D40" s="7">
        <f t="shared" si="0"/>
        <v>0.6897872620261073</v>
      </c>
      <c r="E40" s="4">
        <f t="shared" si="1"/>
        <v>23638.319682372672</v>
      </c>
    </row>
    <row r="41" spans="1:5" x14ac:dyDescent="0.2">
      <c r="A41" s="5">
        <v>25355</v>
      </c>
      <c r="B41" s="6">
        <v>128360</v>
      </c>
      <c r="C41" s="6">
        <v>8558</v>
      </c>
      <c r="D41" s="7">
        <f t="shared" si="0"/>
        <v>0.70342726246451626</v>
      </c>
      <c r="E41" s="4">
        <f t="shared" si="1"/>
        <v>24105.748857396509</v>
      </c>
    </row>
    <row r="42" spans="1:5" x14ac:dyDescent="0.2">
      <c r="A42" s="5">
        <v>25447</v>
      </c>
      <c r="B42" s="6">
        <v>130479</v>
      </c>
      <c r="C42" s="6">
        <v>8870</v>
      </c>
      <c r="D42" s="7">
        <f t="shared" si="0"/>
        <v>0.71503962121461218</v>
      </c>
      <c r="E42" s="4">
        <f t="shared" si="1"/>
        <v>24503.692779403544</v>
      </c>
    </row>
    <row r="43" spans="1:5" x14ac:dyDescent="0.2">
      <c r="A43" s="5">
        <v>25538</v>
      </c>
      <c r="B43" s="6">
        <v>133488</v>
      </c>
      <c r="C43" s="6">
        <v>9087</v>
      </c>
      <c r="D43" s="7">
        <f t="shared" si="0"/>
        <v>0.73152928024200181</v>
      </c>
      <c r="E43" s="4">
        <f t="shared" si="1"/>
        <v>25068.776904613162</v>
      </c>
    </row>
    <row r="44" spans="1:5" x14ac:dyDescent="0.2">
      <c r="A44" s="5">
        <v>25628</v>
      </c>
      <c r="B44" s="6">
        <v>136256</v>
      </c>
      <c r="C44" s="6">
        <v>9311</v>
      </c>
      <c r="D44" s="7">
        <f t="shared" si="0"/>
        <v>0.74669823211565234</v>
      </c>
      <c r="E44" s="4">
        <f t="shared" si="1"/>
        <v>25588.60171637129</v>
      </c>
    </row>
    <row r="45" spans="1:5" x14ac:dyDescent="0.2">
      <c r="A45" s="5">
        <v>25720</v>
      </c>
      <c r="B45" s="6">
        <v>139020</v>
      </c>
      <c r="C45" s="6">
        <v>9670</v>
      </c>
      <c r="D45" s="7">
        <f t="shared" si="0"/>
        <v>0.76184526353861837</v>
      </c>
      <c r="E45" s="4">
        <f t="shared" si="1"/>
        <v>26107.675336204913</v>
      </c>
    </row>
    <row r="46" spans="1:5" x14ac:dyDescent="0.2">
      <c r="A46" s="5">
        <v>25812</v>
      </c>
      <c r="B46" s="6">
        <v>138729</v>
      </c>
      <c r="C46" s="6">
        <v>9732</v>
      </c>
      <c r="D46" s="7">
        <f t="shared" si="0"/>
        <v>0.76025055075132342</v>
      </c>
      <c r="E46" s="4">
        <f t="shared" si="1"/>
        <v>26053.026123697102</v>
      </c>
    </row>
    <row r="47" spans="1:5" x14ac:dyDescent="0.2">
      <c r="A47" s="5">
        <v>25903</v>
      </c>
      <c r="B47" s="6">
        <v>139334</v>
      </c>
      <c r="C47" s="6">
        <v>9896</v>
      </c>
      <c r="D47" s="7">
        <f t="shared" si="0"/>
        <v>0.76356601891734899</v>
      </c>
      <c r="E47" s="4">
        <f t="shared" si="1"/>
        <v>26166.643902278633</v>
      </c>
    </row>
    <row r="48" spans="1:5" x14ac:dyDescent="0.2">
      <c r="A48" s="5">
        <v>25993</v>
      </c>
      <c r="B48" s="6">
        <v>141069</v>
      </c>
      <c r="C48" s="6">
        <v>10276</v>
      </c>
      <c r="D48" s="7">
        <f t="shared" si="0"/>
        <v>0.77307401440173606</v>
      </c>
      <c r="E48" s="4">
        <f t="shared" si="1"/>
        <v>26492.473399533093</v>
      </c>
    </row>
    <row r="49" spans="1:5" x14ac:dyDescent="0.2">
      <c r="A49" s="5">
        <v>26085</v>
      </c>
      <c r="B49" s="6">
        <v>141684</v>
      </c>
      <c r="C49" s="6">
        <v>10509</v>
      </c>
      <c r="D49" s="7">
        <f t="shared" si="0"/>
        <v>0.77644428369447271</v>
      </c>
      <c r="E49" s="4">
        <f t="shared" si="1"/>
        <v>26607.969157925887</v>
      </c>
    </row>
    <row r="50" spans="1:5" x14ac:dyDescent="0.2">
      <c r="A50" s="5">
        <v>26177</v>
      </c>
      <c r="B50" s="6">
        <v>146103</v>
      </c>
      <c r="C50" s="6">
        <v>10918</v>
      </c>
      <c r="D50" s="7">
        <f t="shared" si="0"/>
        <v>0.80066090158813663</v>
      </c>
      <c r="E50" s="4">
        <f t="shared" si="1"/>
        <v>27437.848436523855</v>
      </c>
    </row>
    <row r="51" spans="1:5" x14ac:dyDescent="0.2">
      <c r="A51" s="5">
        <v>26268</v>
      </c>
      <c r="B51" s="6">
        <v>145631</v>
      </c>
      <c r="C51" s="6">
        <v>10934</v>
      </c>
      <c r="D51" s="7">
        <f t="shared" si="0"/>
        <v>0.7980742884073696</v>
      </c>
      <c r="E51" s="4">
        <f t="shared" si="1"/>
        <v>27349.207789432148</v>
      </c>
    </row>
    <row r="52" spans="1:5" x14ac:dyDescent="0.2">
      <c r="A52" s="5">
        <v>26359</v>
      </c>
      <c r="B52" s="6">
        <v>143895</v>
      </c>
      <c r="C52" s="6">
        <v>11135</v>
      </c>
      <c r="D52" s="7">
        <f t="shared" si="0"/>
        <v>0.78856081281031143</v>
      </c>
      <c r="E52" s="4">
        <f t="shared" si="1"/>
        <v>27023.190494196562</v>
      </c>
    </row>
    <row r="53" spans="1:5" x14ac:dyDescent="0.2">
      <c r="A53" s="5">
        <v>26451</v>
      </c>
      <c r="B53" s="6">
        <v>147099</v>
      </c>
      <c r="C53" s="6">
        <v>11558</v>
      </c>
      <c r="D53" s="7">
        <f t="shared" si="0"/>
        <v>0.80611909380856872</v>
      </c>
      <c r="E53" s="4">
        <f t="shared" si="1"/>
        <v>27624.895225725842</v>
      </c>
    </row>
    <row r="54" spans="1:5" x14ac:dyDescent="0.2">
      <c r="A54" s="5">
        <v>26543</v>
      </c>
      <c r="B54" s="6">
        <v>146358</v>
      </c>
      <c r="C54" s="6">
        <v>11719</v>
      </c>
      <c r="D54" s="7">
        <f t="shared" si="0"/>
        <v>0.80205833031927132</v>
      </c>
      <c r="E54" s="4">
        <f t="shared" si="1"/>
        <v>27485.736921711108</v>
      </c>
    </row>
    <row r="55" spans="1:5" x14ac:dyDescent="0.2">
      <c r="A55" s="5">
        <v>26634</v>
      </c>
      <c r="B55" s="6">
        <v>147888</v>
      </c>
      <c r="C55" s="6">
        <v>12108</v>
      </c>
      <c r="D55" s="7">
        <f t="shared" si="0"/>
        <v>0.81044290270607966</v>
      </c>
      <c r="E55" s="4">
        <f t="shared" si="1"/>
        <v>27773.067832834644</v>
      </c>
    </row>
    <row r="56" spans="1:5" x14ac:dyDescent="0.2">
      <c r="A56" s="5">
        <v>26724</v>
      </c>
      <c r="B56" s="6">
        <v>151728</v>
      </c>
      <c r="C56" s="6">
        <v>12714</v>
      </c>
      <c r="D56" s="7">
        <f t="shared" si="0"/>
        <v>0.83148653536316708</v>
      </c>
      <c r="E56" s="4">
        <f t="shared" si="1"/>
        <v>28494.212080360372</v>
      </c>
    </row>
    <row r="57" spans="1:5" x14ac:dyDescent="0.2">
      <c r="A57" s="5">
        <v>26816</v>
      </c>
      <c r="B57" s="6">
        <v>152014</v>
      </c>
      <c r="C57" s="6">
        <v>13311</v>
      </c>
      <c r="D57" s="7">
        <f t="shared" si="0"/>
        <v>0.83305384758710643</v>
      </c>
      <c r="E57" s="4">
        <f t="shared" si="1"/>
        <v>28547.92230296255</v>
      </c>
    </row>
    <row r="58" spans="1:5" x14ac:dyDescent="0.2">
      <c r="A58" s="5">
        <v>26908</v>
      </c>
      <c r="B58" s="6">
        <v>153536</v>
      </c>
      <c r="C58" s="6">
        <v>14057</v>
      </c>
      <c r="D58" s="7">
        <f t="shared" si="0"/>
        <v>0.84139457907254578</v>
      </c>
      <c r="E58" s="4">
        <f t="shared" si="1"/>
        <v>28833.75083023707</v>
      </c>
    </row>
    <row r="59" spans="1:5" x14ac:dyDescent="0.2">
      <c r="A59" s="5">
        <v>26999</v>
      </c>
      <c r="B59" s="6">
        <v>157369</v>
      </c>
      <c r="C59" s="6">
        <v>14990</v>
      </c>
      <c r="D59" s="7">
        <f t="shared" si="0"/>
        <v>0.8623998509409353</v>
      </c>
      <c r="E59" s="4">
        <f t="shared" si="1"/>
        <v>29553.580491894911</v>
      </c>
    </row>
    <row r="60" spans="1:5" x14ac:dyDescent="0.2">
      <c r="A60" s="5">
        <v>27089</v>
      </c>
      <c r="B60" s="6">
        <v>157417</v>
      </c>
      <c r="C60" s="6">
        <v>15519</v>
      </c>
      <c r="D60" s="7">
        <f t="shared" si="0"/>
        <v>0.86266289634914894</v>
      </c>
      <c r="E60" s="4">
        <f t="shared" si="1"/>
        <v>29562.594794988985</v>
      </c>
    </row>
    <row r="61" spans="1:5" x14ac:dyDescent="0.2">
      <c r="A61" s="5">
        <v>27181</v>
      </c>
      <c r="B61" s="6">
        <v>154222</v>
      </c>
      <c r="C61" s="6">
        <v>15789</v>
      </c>
      <c r="D61" s="7">
        <f t="shared" si="0"/>
        <v>0.84515393636493163</v>
      </c>
      <c r="E61" s="4">
        <f t="shared" si="1"/>
        <v>28962.580245289842</v>
      </c>
    </row>
    <row r="62" spans="1:5" x14ac:dyDescent="0.2">
      <c r="A62" s="5">
        <v>27273</v>
      </c>
      <c r="B62" s="6">
        <v>156046</v>
      </c>
      <c r="C62" s="6">
        <v>16776</v>
      </c>
      <c r="D62" s="7">
        <f t="shared" si="0"/>
        <v>0.85514966187704822</v>
      </c>
      <c r="E62" s="4">
        <f t="shared" si="1"/>
        <v>29305.123762864565</v>
      </c>
    </row>
    <row r="63" spans="1:5" x14ac:dyDescent="0.2">
      <c r="A63" s="5">
        <v>27364</v>
      </c>
      <c r="B63" s="6">
        <v>156226</v>
      </c>
      <c r="C63" s="6">
        <v>17672</v>
      </c>
      <c r="D63" s="7">
        <f t="shared" si="0"/>
        <v>0.8561360821578492</v>
      </c>
      <c r="E63" s="4">
        <f t="shared" si="1"/>
        <v>29338.927399467335</v>
      </c>
    </row>
    <row r="64" spans="1:5" x14ac:dyDescent="0.2">
      <c r="A64" s="5">
        <v>27454</v>
      </c>
      <c r="B64" s="6">
        <v>156823</v>
      </c>
      <c r="C64" s="6">
        <v>18024</v>
      </c>
      <c r="D64" s="7">
        <f t="shared" si="0"/>
        <v>0.85940770942250577</v>
      </c>
      <c r="E64" s="4">
        <f t="shared" si="1"/>
        <v>29451.04279419985</v>
      </c>
    </row>
    <row r="65" spans="1:5" x14ac:dyDescent="0.2">
      <c r="A65" s="5">
        <v>27546</v>
      </c>
      <c r="B65" s="6">
        <v>161783</v>
      </c>
      <c r="C65" s="6">
        <v>18857</v>
      </c>
      <c r="D65" s="7">
        <f t="shared" si="0"/>
        <v>0.88658906827124362</v>
      </c>
      <c r="E65" s="4">
        <f t="shared" si="1"/>
        <v>30382.520780587249</v>
      </c>
    </row>
    <row r="66" spans="1:5" x14ac:dyDescent="0.2">
      <c r="A66" s="5">
        <v>27638</v>
      </c>
      <c r="B66" s="6">
        <v>159991</v>
      </c>
      <c r="C66" s="6">
        <v>19430</v>
      </c>
      <c r="D66" s="7">
        <f t="shared" si="0"/>
        <v>0.8767687063646028</v>
      </c>
      <c r="E66" s="4">
        <f t="shared" si="1"/>
        <v>30045.986798408572</v>
      </c>
    </row>
    <row r="67" spans="1:5" x14ac:dyDescent="0.2">
      <c r="A67" s="5">
        <v>27729</v>
      </c>
      <c r="B67" s="6">
        <v>157586</v>
      </c>
      <c r="C67" s="6">
        <v>20367</v>
      </c>
      <c r="D67" s="7">
        <f t="shared" ref="D67:D130" si="3">B67/$B$84</f>
        <v>0.86358903539056764</v>
      </c>
      <c r="E67" s="4">
        <f t="shared" ref="E67:E130" si="4">D67*$C$84</f>
        <v>29594.332653799363</v>
      </c>
    </row>
    <row r="68" spans="1:5" x14ac:dyDescent="0.2">
      <c r="A68" s="5">
        <v>27820</v>
      </c>
      <c r="B68" s="6">
        <v>164568</v>
      </c>
      <c r="C68" s="6">
        <v>21333</v>
      </c>
      <c r="D68" s="7">
        <f t="shared" si="3"/>
        <v>0.90185118206030312</v>
      </c>
      <c r="E68" s="4">
        <f t="shared" si="4"/>
        <v>30905.538158024527</v>
      </c>
    </row>
    <row r="69" spans="1:5" x14ac:dyDescent="0.2">
      <c r="A69" s="5">
        <v>27912</v>
      </c>
      <c r="B69" s="6">
        <v>165058</v>
      </c>
      <c r="C69" s="6">
        <v>22271</v>
      </c>
      <c r="D69" s="7">
        <f t="shared" si="3"/>
        <v>0.90453643726915023</v>
      </c>
      <c r="E69" s="4">
        <f t="shared" si="4"/>
        <v>30997.559168776508</v>
      </c>
    </row>
    <row r="70" spans="1:5" x14ac:dyDescent="0.2">
      <c r="A70" s="5">
        <v>28004</v>
      </c>
      <c r="B70" s="6">
        <v>166399</v>
      </c>
      <c r="C70" s="6">
        <v>23048</v>
      </c>
      <c r="D70" s="7">
        <f t="shared" si="3"/>
        <v>0.9118852683611175</v>
      </c>
      <c r="E70" s="4">
        <f t="shared" si="4"/>
        <v>31249.396261467136</v>
      </c>
    </row>
    <row r="71" spans="1:5" x14ac:dyDescent="0.2">
      <c r="A71" s="5">
        <v>28095</v>
      </c>
      <c r="B71" s="6">
        <v>167832</v>
      </c>
      <c r="C71" s="6">
        <v>23782</v>
      </c>
      <c r="D71" s="7">
        <f t="shared" si="3"/>
        <v>0.91973826981882745</v>
      </c>
      <c r="E71" s="4">
        <f t="shared" si="4"/>
        <v>31518.510768421398</v>
      </c>
    </row>
    <row r="72" spans="1:5" x14ac:dyDescent="0.2">
      <c r="A72" s="5">
        <v>28185</v>
      </c>
      <c r="B72" s="6">
        <v>166929</v>
      </c>
      <c r="C72" s="6">
        <v>24313</v>
      </c>
      <c r="D72" s="7">
        <f t="shared" si="3"/>
        <v>0.91478972807680925</v>
      </c>
      <c r="E72" s="4">
        <f t="shared" si="4"/>
        <v>31348.929191464176</v>
      </c>
    </row>
    <row r="73" spans="1:5" x14ac:dyDescent="0.2">
      <c r="A73" s="5">
        <v>28277</v>
      </c>
      <c r="B73" s="6">
        <v>169294</v>
      </c>
      <c r="C73" s="6">
        <v>25138</v>
      </c>
      <c r="D73" s="7">
        <f t="shared" si="3"/>
        <v>0.92775019454399987</v>
      </c>
      <c r="E73" s="4">
        <f t="shared" si="4"/>
        <v>31793.07141682833</v>
      </c>
    </row>
    <row r="74" spans="1:5" x14ac:dyDescent="0.2">
      <c r="A74" s="5">
        <v>28369</v>
      </c>
      <c r="B74" s="6">
        <v>168568</v>
      </c>
      <c r="C74" s="6">
        <v>25478</v>
      </c>
      <c r="D74" s="7">
        <f t="shared" si="3"/>
        <v>0.92377163274476926</v>
      </c>
      <c r="E74" s="4">
        <f t="shared" si="4"/>
        <v>31656.730082530499</v>
      </c>
    </row>
    <row r="75" spans="1:5" x14ac:dyDescent="0.2">
      <c r="A75" s="5">
        <v>28460</v>
      </c>
      <c r="B75" s="6">
        <v>168041</v>
      </c>
      <c r="C75" s="6">
        <v>25766</v>
      </c>
      <c r="D75" s="7">
        <f t="shared" si="3"/>
        <v>0.92088361336709079</v>
      </c>
      <c r="E75" s="4">
        <f t="shared" si="4"/>
        <v>31557.760546476835</v>
      </c>
    </row>
    <row r="76" spans="1:5" x14ac:dyDescent="0.2">
      <c r="A76" s="5">
        <v>28550</v>
      </c>
      <c r="B76" s="6">
        <v>169212</v>
      </c>
      <c r="C76" s="6">
        <v>26614</v>
      </c>
      <c r="D76" s="7">
        <f t="shared" si="3"/>
        <v>0.92730082530496827</v>
      </c>
      <c r="E76" s="4">
        <f t="shared" si="4"/>
        <v>31777.671982375956</v>
      </c>
    </row>
    <row r="77" spans="1:5" x14ac:dyDescent="0.2">
      <c r="A77" s="5">
        <v>28642</v>
      </c>
      <c r="B77" s="6">
        <v>170637</v>
      </c>
      <c r="C77" s="6">
        <v>27411</v>
      </c>
      <c r="D77" s="7">
        <f t="shared" si="3"/>
        <v>0.93510998586130933</v>
      </c>
      <c r="E77" s="4">
        <f t="shared" si="4"/>
        <v>32045.284105481209</v>
      </c>
    </row>
    <row r="78" spans="1:5" x14ac:dyDescent="0.2">
      <c r="A78" s="5">
        <v>28734</v>
      </c>
      <c r="B78" s="6">
        <v>173231</v>
      </c>
      <c r="C78" s="6">
        <v>28331</v>
      </c>
      <c r="D78" s="7">
        <f t="shared" si="3"/>
        <v>0.94932539813018557</v>
      </c>
      <c r="E78" s="4">
        <f t="shared" si="4"/>
        <v>32532.432068523329</v>
      </c>
    </row>
    <row r="79" spans="1:5" x14ac:dyDescent="0.2">
      <c r="A79" s="5">
        <v>28825</v>
      </c>
      <c r="B79" s="6">
        <v>174637</v>
      </c>
      <c r="C79" s="6">
        <v>29076</v>
      </c>
      <c r="D79" s="7">
        <f t="shared" si="3"/>
        <v>0.95703043654577535</v>
      </c>
      <c r="E79" s="4">
        <f t="shared" si="4"/>
        <v>32796.476029987178</v>
      </c>
    </row>
    <row r="80" spans="1:5" x14ac:dyDescent="0.2">
      <c r="A80" s="5">
        <v>28915</v>
      </c>
      <c r="B80" s="6">
        <v>179443</v>
      </c>
      <c r="C80" s="6">
        <v>30536</v>
      </c>
      <c r="D80" s="7">
        <f t="shared" si="3"/>
        <v>0.9833678580431614</v>
      </c>
      <c r="E80" s="4">
        <f t="shared" si="4"/>
        <v>33699.033127281094</v>
      </c>
    </row>
    <row r="81" spans="1:5" x14ac:dyDescent="0.2">
      <c r="A81" s="5">
        <v>29007</v>
      </c>
      <c r="B81" s="6">
        <v>176553</v>
      </c>
      <c r="C81" s="6">
        <v>31004</v>
      </c>
      <c r="D81" s="7">
        <f t="shared" si="3"/>
        <v>0.96753033242363462</v>
      </c>
      <c r="E81" s="4">
        <f t="shared" si="4"/>
        <v>33156.296961825537</v>
      </c>
    </row>
    <row r="82" spans="1:5" x14ac:dyDescent="0.2">
      <c r="A82" s="5">
        <v>29099</v>
      </c>
      <c r="B82" s="6">
        <v>178193</v>
      </c>
      <c r="C82" s="6">
        <v>32077</v>
      </c>
      <c r="D82" s="7">
        <f t="shared" si="3"/>
        <v>0.97651771720426572</v>
      </c>
      <c r="E82" s="4">
        <f t="shared" si="4"/>
        <v>33464.285650872982</v>
      </c>
    </row>
    <row r="83" spans="1:5" x14ac:dyDescent="0.2">
      <c r="A83" s="5">
        <v>29190</v>
      </c>
      <c r="B83" s="6">
        <v>181623</v>
      </c>
      <c r="C83" s="6">
        <v>33358</v>
      </c>
      <c r="D83" s="7">
        <f t="shared" si="3"/>
        <v>0.99531450366619534</v>
      </c>
      <c r="E83" s="4">
        <f t="shared" si="4"/>
        <v>34108.432726136845</v>
      </c>
    </row>
    <row r="84" spans="1:5" s="9" customFormat="1" x14ac:dyDescent="0.2">
      <c r="A84" s="10">
        <v>29281</v>
      </c>
      <c r="B84" s="11">
        <v>182478</v>
      </c>
      <c r="C84" s="11">
        <v>34269</v>
      </c>
      <c r="D84" s="7">
        <f t="shared" si="3"/>
        <v>1</v>
      </c>
      <c r="E84" s="4">
        <f t="shared" si="4"/>
        <v>34269</v>
      </c>
    </row>
    <row r="85" spans="1:5" x14ac:dyDescent="0.2">
      <c r="A85" s="5">
        <v>29373</v>
      </c>
      <c r="B85" s="6">
        <v>182929</v>
      </c>
      <c r="C85" s="6">
        <v>35041</v>
      </c>
      <c r="D85" s="7">
        <f t="shared" si="3"/>
        <v>1.0024715308146734</v>
      </c>
      <c r="E85" s="4">
        <f t="shared" si="4"/>
        <v>34353.696889488041</v>
      </c>
    </row>
    <row r="86" spans="1:5" x14ac:dyDescent="0.2">
      <c r="A86" s="5">
        <v>29465</v>
      </c>
      <c r="B86" s="6">
        <v>183921</v>
      </c>
      <c r="C86" s="6">
        <v>36201</v>
      </c>
      <c r="D86" s="7">
        <f t="shared" si="3"/>
        <v>1.007907802584421</v>
      </c>
      <c r="E86" s="4">
        <f t="shared" si="4"/>
        <v>34539.992486765521</v>
      </c>
    </row>
    <row r="87" spans="1:5" x14ac:dyDescent="0.2">
      <c r="A87" s="5">
        <v>29556</v>
      </c>
      <c r="B87" s="6">
        <v>187071</v>
      </c>
      <c r="C87" s="6">
        <v>37859</v>
      </c>
      <c r="D87" s="7">
        <f t="shared" si="3"/>
        <v>1.0251701574984382</v>
      </c>
      <c r="E87" s="4">
        <f t="shared" si="4"/>
        <v>35131.556127313976</v>
      </c>
    </row>
    <row r="88" spans="1:5" x14ac:dyDescent="0.2">
      <c r="A88" s="5">
        <v>29646</v>
      </c>
      <c r="B88" s="6">
        <v>187774</v>
      </c>
      <c r="C88" s="6">
        <v>38611</v>
      </c>
      <c r="D88" s="7">
        <f t="shared" si="3"/>
        <v>1.0290226767062332</v>
      </c>
      <c r="E88" s="4">
        <f t="shared" si="4"/>
        <v>35263.578108045906</v>
      </c>
    </row>
    <row r="89" spans="1:5" x14ac:dyDescent="0.2">
      <c r="A89" s="5">
        <v>29738</v>
      </c>
      <c r="B89" s="6">
        <v>190698</v>
      </c>
      <c r="C89" s="6">
        <v>40046</v>
      </c>
      <c r="D89" s="7">
        <f t="shared" si="3"/>
        <v>1.0450465261565778</v>
      </c>
      <c r="E89" s="4">
        <f t="shared" si="4"/>
        <v>35812.699404859763</v>
      </c>
    </row>
    <row r="90" spans="1:5" x14ac:dyDescent="0.2">
      <c r="A90" s="5">
        <v>29830</v>
      </c>
      <c r="B90" s="6">
        <v>194547</v>
      </c>
      <c r="C90" s="6">
        <v>42221</v>
      </c>
      <c r="D90" s="7">
        <f t="shared" si="3"/>
        <v>1.0661394798277053</v>
      </c>
      <c r="E90" s="4">
        <f t="shared" si="4"/>
        <v>36535.533834215632</v>
      </c>
    </row>
    <row r="91" spans="1:5" x14ac:dyDescent="0.2">
      <c r="A91" s="5">
        <v>29921</v>
      </c>
      <c r="B91" s="6">
        <v>193750</v>
      </c>
      <c r="C91" s="6">
        <v>43420</v>
      </c>
      <c r="D91" s="7">
        <f t="shared" si="3"/>
        <v>1.0617718300288255</v>
      </c>
      <c r="E91" s="4">
        <f t="shared" si="4"/>
        <v>36385.858843257818</v>
      </c>
    </row>
    <row r="92" spans="1:5" x14ac:dyDescent="0.2">
      <c r="A92" s="5">
        <v>30011</v>
      </c>
      <c r="B92" s="6">
        <v>192200</v>
      </c>
      <c r="C92" s="6">
        <v>44349</v>
      </c>
      <c r="D92" s="7">
        <f t="shared" si="3"/>
        <v>1.0532776553885947</v>
      </c>
      <c r="E92" s="4">
        <f t="shared" si="4"/>
        <v>36094.771972511757</v>
      </c>
    </row>
    <row r="93" spans="1:5" x14ac:dyDescent="0.2">
      <c r="A93" s="5">
        <v>30103</v>
      </c>
      <c r="B93" s="6">
        <v>193912</v>
      </c>
      <c r="C93" s="6">
        <v>46042</v>
      </c>
      <c r="D93" s="7">
        <f t="shared" si="3"/>
        <v>1.0626596082815463</v>
      </c>
      <c r="E93" s="4">
        <f t="shared" si="4"/>
        <v>36416.282116200309</v>
      </c>
    </row>
    <row r="94" spans="1:5" x14ac:dyDescent="0.2">
      <c r="A94" s="5">
        <v>30195</v>
      </c>
      <c r="B94" s="6">
        <v>192629</v>
      </c>
      <c r="C94" s="6">
        <v>46626</v>
      </c>
      <c r="D94" s="7">
        <f t="shared" si="3"/>
        <v>1.0556286237245038</v>
      </c>
      <c r="E94" s="4">
        <f t="shared" si="4"/>
        <v>36175.337306415022</v>
      </c>
    </row>
    <row r="95" spans="1:5" x14ac:dyDescent="0.2">
      <c r="A95" s="5">
        <v>30286</v>
      </c>
      <c r="B95" s="6">
        <v>189529</v>
      </c>
      <c r="C95" s="6">
        <v>47352</v>
      </c>
      <c r="D95" s="7">
        <f t="shared" si="3"/>
        <v>1.0386402744440426</v>
      </c>
      <c r="E95" s="4">
        <f t="shared" si="4"/>
        <v>35593.163564922899</v>
      </c>
    </row>
    <row r="96" spans="1:5" x14ac:dyDescent="0.2">
      <c r="A96" s="5">
        <v>30376</v>
      </c>
      <c r="B96" s="6">
        <v>187699</v>
      </c>
      <c r="C96" s="6">
        <v>47763</v>
      </c>
      <c r="D96" s="7">
        <f t="shared" si="3"/>
        <v>1.0286116682558994</v>
      </c>
      <c r="E96" s="4">
        <f t="shared" si="4"/>
        <v>35249.493259461415</v>
      </c>
    </row>
    <row r="97" spans="1:5" x14ac:dyDescent="0.2">
      <c r="A97" s="5">
        <v>30468</v>
      </c>
      <c r="B97" s="6">
        <v>187316</v>
      </c>
      <c r="C97" s="6">
        <v>48277</v>
      </c>
      <c r="D97" s="7">
        <f t="shared" si="3"/>
        <v>1.0265127851028617</v>
      </c>
      <c r="E97" s="4">
        <f t="shared" si="4"/>
        <v>35177.566632689966</v>
      </c>
    </row>
    <row r="98" spans="1:5" x14ac:dyDescent="0.2">
      <c r="A98" s="5">
        <v>30560</v>
      </c>
      <c r="B98" s="6">
        <v>192527</v>
      </c>
      <c r="C98" s="6">
        <v>51061</v>
      </c>
      <c r="D98" s="7">
        <f t="shared" si="3"/>
        <v>1.05506965223205</v>
      </c>
      <c r="E98" s="4">
        <f t="shared" si="4"/>
        <v>36156.181912340122</v>
      </c>
    </row>
    <row r="99" spans="1:5" x14ac:dyDescent="0.2">
      <c r="A99" s="5">
        <v>30651</v>
      </c>
      <c r="B99" s="6">
        <v>195767</v>
      </c>
      <c r="C99" s="6">
        <v>52471</v>
      </c>
      <c r="D99" s="7">
        <f t="shared" si="3"/>
        <v>1.0728252172864674</v>
      </c>
      <c r="E99" s="4">
        <f t="shared" si="4"/>
        <v>36764.647371189953</v>
      </c>
    </row>
    <row r="100" spans="1:5" x14ac:dyDescent="0.2">
      <c r="A100" s="5">
        <v>30742</v>
      </c>
      <c r="B100" s="6">
        <v>200551</v>
      </c>
      <c r="C100" s="6">
        <v>54634</v>
      </c>
      <c r="D100" s="7">
        <f t="shared" si="3"/>
        <v>1.0990420763050888</v>
      </c>
      <c r="E100" s="4">
        <f t="shared" si="4"/>
        <v>37663.072912899086</v>
      </c>
    </row>
    <row r="101" spans="1:5" x14ac:dyDescent="0.2">
      <c r="A101" s="5">
        <v>30834</v>
      </c>
      <c r="B101" s="6">
        <v>202888</v>
      </c>
      <c r="C101" s="6">
        <v>55882</v>
      </c>
      <c r="D101" s="7">
        <f t="shared" si="3"/>
        <v>1.1118490996174881</v>
      </c>
      <c r="E101" s="4">
        <f t="shared" si="4"/>
        <v>38101.956794791702</v>
      </c>
    </row>
    <row r="102" spans="1:5" x14ac:dyDescent="0.2">
      <c r="A102" s="5">
        <v>30926</v>
      </c>
      <c r="B102" s="6">
        <v>204764</v>
      </c>
      <c r="C102" s="6">
        <v>56555</v>
      </c>
      <c r="D102" s="7">
        <f t="shared" si="3"/>
        <v>1.1221297909885026</v>
      </c>
      <c r="E102" s="4">
        <f t="shared" si="4"/>
        <v>38454.265807384996</v>
      </c>
    </row>
    <row r="103" spans="1:5" x14ac:dyDescent="0.2">
      <c r="A103" s="5">
        <v>31017</v>
      </c>
      <c r="B103" s="6">
        <v>206003</v>
      </c>
      <c r="C103" s="6">
        <v>57490</v>
      </c>
      <c r="D103" s="7">
        <f t="shared" si="3"/>
        <v>1.1289196505880161</v>
      </c>
      <c r="E103" s="4">
        <f t="shared" si="4"/>
        <v>38686.947506000724</v>
      </c>
    </row>
    <row r="104" spans="1:5" x14ac:dyDescent="0.2">
      <c r="A104" s="5">
        <v>31107</v>
      </c>
      <c r="B104" s="6">
        <v>209049</v>
      </c>
      <c r="C104" s="6">
        <v>59695</v>
      </c>
      <c r="D104" s="7">
        <f t="shared" si="3"/>
        <v>1.145612073784237</v>
      </c>
      <c r="E104" s="4">
        <f t="shared" si="4"/>
        <v>39258.980156512021</v>
      </c>
    </row>
    <row r="105" spans="1:5" x14ac:dyDescent="0.2">
      <c r="A105" s="5">
        <v>31199</v>
      </c>
      <c r="B105" s="6">
        <v>213736</v>
      </c>
      <c r="C105" s="6">
        <v>62029</v>
      </c>
      <c r="D105" s="7">
        <f t="shared" si="3"/>
        <v>1.1712973618737601</v>
      </c>
      <c r="E105" s="4">
        <f t="shared" si="4"/>
        <v>40139.189294051888</v>
      </c>
    </row>
    <row r="106" spans="1:5" x14ac:dyDescent="0.2">
      <c r="A106" s="5">
        <v>31291</v>
      </c>
      <c r="B106" s="6">
        <v>216480</v>
      </c>
      <c r="C106" s="6">
        <v>63472</v>
      </c>
      <c r="D106" s="7">
        <f t="shared" si="3"/>
        <v>1.1863347910433037</v>
      </c>
      <c r="E106" s="4">
        <f t="shared" si="4"/>
        <v>40654.506954262979</v>
      </c>
    </row>
    <row r="107" spans="1:5" x14ac:dyDescent="0.2">
      <c r="A107" s="5">
        <v>31382</v>
      </c>
      <c r="B107" s="6">
        <v>215860</v>
      </c>
      <c r="C107" s="6">
        <v>64706</v>
      </c>
      <c r="D107" s="7">
        <f t="shared" si="3"/>
        <v>1.1829371211872115</v>
      </c>
      <c r="E107" s="4">
        <f t="shared" si="4"/>
        <v>40538.072205964549</v>
      </c>
    </row>
    <row r="108" spans="1:5" x14ac:dyDescent="0.2">
      <c r="A108" s="5">
        <v>31472</v>
      </c>
      <c r="B108" s="6">
        <v>217343</v>
      </c>
      <c r="C108" s="6">
        <v>65929</v>
      </c>
      <c r="D108" s="7">
        <f t="shared" si="3"/>
        <v>1.1910641282784773</v>
      </c>
      <c r="E108" s="4">
        <f t="shared" si="4"/>
        <v>40816.576611975135</v>
      </c>
    </row>
    <row r="109" spans="1:5" x14ac:dyDescent="0.2">
      <c r="A109" s="5">
        <v>31564</v>
      </c>
      <c r="B109" s="6">
        <v>216958</v>
      </c>
      <c r="C109" s="6">
        <v>67111</v>
      </c>
      <c r="D109" s="7">
        <f t="shared" si="3"/>
        <v>1.1889542849000976</v>
      </c>
      <c r="E109" s="4">
        <f t="shared" si="4"/>
        <v>40744.274389241444</v>
      </c>
    </row>
    <row r="110" spans="1:5" x14ac:dyDescent="0.2">
      <c r="A110" s="5">
        <v>31656</v>
      </c>
      <c r="B110" s="6">
        <v>217525</v>
      </c>
      <c r="C110" s="6">
        <v>68346</v>
      </c>
      <c r="D110" s="7">
        <f t="shared" si="3"/>
        <v>1.1920615087846207</v>
      </c>
      <c r="E110" s="4">
        <f t="shared" si="4"/>
        <v>40850.755844540166</v>
      </c>
    </row>
    <row r="111" spans="1:5" x14ac:dyDescent="0.2">
      <c r="A111" s="5">
        <v>31747</v>
      </c>
      <c r="B111" s="6">
        <v>221103</v>
      </c>
      <c r="C111" s="6">
        <v>70633</v>
      </c>
      <c r="D111" s="7">
        <f t="shared" si="3"/>
        <v>1.2116693519218755</v>
      </c>
      <c r="E111" s="4">
        <f t="shared" si="4"/>
        <v>41522.697021010754</v>
      </c>
    </row>
    <row r="112" spans="1:5" x14ac:dyDescent="0.2">
      <c r="A112" s="5">
        <v>31837</v>
      </c>
      <c r="B112" s="6">
        <v>223306</v>
      </c>
      <c r="C112" s="6">
        <v>72426</v>
      </c>
      <c r="D112" s="7">
        <f t="shared" si="3"/>
        <v>1.2237420401363452</v>
      </c>
      <c r="E112" s="4">
        <f t="shared" si="4"/>
        <v>41936.415973432413</v>
      </c>
    </row>
    <row r="113" spans="1:5" x14ac:dyDescent="0.2">
      <c r="A113" s="5">
        <v>31929</v>
      </c>
      <c r="B113" s="6">
        <v>226866</v>
      </c>
      <c r="C113" s="6">
        <v>75160</v>
      </c>
      <c r="D113" s="7">
        <f t="shared" si="3"/>
        <v>1.2432512412455201</v>
      </c>
      <c r="E113" s="4">
        <f t="shared" si="4"/>
        <v>42604.976786242725</v>
      </c>
    </row>
    <row r="114" spans="1:5" x14ac:dyDescent="0.2">
      <c r="A114" s="5">
        <v>32021</v>
      </c>
      <c r="B114" s="6">
        <v>230949</v>
      </c>
      <c r="C114" s="6">
        <v>77563</v>
      </c>
      <c r="D114" s="7">
        <f t="shared" si="3"/>
        <v>1.2656265412816887</v>
      </c>
      <c r="E114" s="4">
        <f t="shared" si="4"/>
        <v>43371.755943182194</v>
      </c>
    </row>
    <row r="115" spans="1:5" x14ac:dyDescent="0.2">
      <c r="A115" s="5">
        <v>32112</v>
      </c>
      <c r="B115" s="6">
        <v>235613</v>
      </c>
      <c r="C115" s="6">
        <v>79892</v>
      </c>
      <c r="D115" s="7">
        <f t="shared" si="3"/>
        <v>1.2911857867797762</v>
      </c>
      <c r="E115" s="4">
        <f t="shared" si="4"/>
        <v>44247.645727156152</v>
      </c>
    </row>
    <row r="116" spans="1:5" x14ac:dyDescent="0.2">
      <c r="A116" s="5">
        <v>32203</v>
      </c>
      <c r="B116" s="6">
        <v>236601</v>
      </c>
      <c r="C116" s="6">
        <v>82779</v>
      </c>
      <c r="D116" s="7">
        <f t="shared" si="3"/>
        <v>1.2966001380988392</v>
      </c>
      <c r="E116" s="4">
        <f t="shared" si="4"/>
        <v>44433.190132509124</v>
      </c>
    </row>
    <row r="117" spans="1:5" x14ac:dyDescent="0.2">
      <c r="A117" s="5">
        <v>32295</v>
      </c>
      <c r="B117" s="6">
        <v>236843</v>
      </c>
      <c r="C117" s="6">
        <v>84834</v>
      </c>
      <c r="D117" s="7">
        <f t="shared" si="3"/>
        <v>1.2979263253652495</v>
      </c>
      <c r="E117" s="4">
        <f t="shared" si="4"/>
        <v>44478.637243941739</v>
      </c>
    </row>
    <row r="118" spans="1:5" x14ac:dyDescent="0.2">
      <c r="A118" s="5">
        <v>32387</v>
      </c>
      <c r="B118" s="6">
        <v>238732</v>
      </c>
      <c r="C118" s="6">
        <v>87856</v>
      </c>
      <c r="D118" s="7">
        <f t="shared" si="3"/>
        <v>1.3082782582009886</v>
      </c>
      <c r="E118" s="4">
        <f t="shared" si="4"/>
        <v>44833.387630289682</v>
      </c>
    </row>
    <row r="119" spans="1:5" x14ac:dyDescent="0.2">
      <c r="A119" s="5">
        <v>32478</v>
      </c>
      <c r="B119" s="6">
        <v>242652</v>
      </c>
      <c r="C119" s="6">
        <v>90712</v>
      </c>
      <c r="D119" s="7">
        <f t="shared" si="3"/>
        <v>1.3297602998717655</v>
      </c>
      <c r="E119" s="4">
        <f t="shared" si="4"/>
        <v>45569.555716305535</v>
      </c>
    </row>
    <row r="120" spans="1:5" x14ac:dyDescent="0.2">
      <c r="A120" s="5">
        <v>32568</v>
      </c>
      <c r="B120" s="6">
        <v>244896</v>
      </c>
      <c r="C120" s="6">
        <v>93344</v>
      </c>
      <c r="D120" s="7">
        <f t="shared" si="3"/>
        <v>1.3420576727057509</v>
      </c>
      <c r="E120" s="4">
        <f t="shared" si="4"/>
        <v>45990.974385953377</v>
      </c>
    </row>
    <row r="121" spans="1:5" x14ac:dyDescent="0.2">
      <c r="A121" s="5">
        <v>32660</v>
      </c>
      <c r="B121" s="6">
        <v>250189</v>
      </c>
      <c r="C121" s="6">
        <v>96972</v>
      </c>
      <c r="D121" s="7">
        <f t="shared" si="3"/>
        <v>1.3710639090739705</v>
      </c>
      <c r="E121" s="4">
        <f t="shared" si="4"/>
        <v>46984.989100055893</v>
      </c>
    </row>
    <row r="122" spans="1:5" x14ac:dyDescent="0.2">
      <c r="A122" s="5">
        <v>32752</v>
      </c>
      <c r="B122" s="6">
        <v>252318</v>
      </c>
      <c r="C122" s="6">
        <v>98845</v>
      </c>
      <c r="D122" s="7">
        <f t="shared" si="3"/>
        <v>1.3827310689507777</v>
      </c>
      <c r="E122" s="4">
        <f t="shared" si="4"/>
        <v>47384.811001874201</v>
      </c>
    </row>
    <row r="123" spans="1:5" x14ac:dyDescent="0.2">
      <c r="A123" s="5">
        <v>32843</v>
      </c>
      <c r="B123" s="6">
        <v>251641</v>
      </c>
      <c r="C123" s="6">
        <v>100574</v>
      </c>
      <c r="D123" s="7">
        <f t="shared" si="3"/>
        <v>1.3790210326724317</v>
      </c>
      <c r="E123" s="4">
        <f t="shared" si="4"/>
        <v>47257.671768651562</v>
      </c>
    </row>
    <row r="124" spans="1:5" x14ac:dyDescent="0.2">
      <c r="A124" s="5">
        <v>32933</v>
      </c>
      <c r="B124" s="6">
        <v>253527</v>
      </c>
      <c r="C124" s="6">
        <v>102413</v>
      </c>
      <c r="D124" s="7">
        <f t="shared" si="3"/>
        <v>1.3893565251701574</v>
      </c>
      <c r="E124" s="4">
        <f t="shared" si="4"/>
        <v>47611.858761056123</v>
      </c>
    </row>
    <row r="125" spans="1:5" x14ac:dyDescent="0.2">
      <c r="A125" s="5">
        <v>33025</v>
      </c>
      <c r="B125" s="6">
        <v>253871</v>
      </c>
      <c r="C125" s="6">
        <v>104356</v>
      </c>
      <c r="D125" s="7">
        <f t="shared" si="3"/>
        <v>1.3912416839290216</v>
      </c>
      <c r="E125" s="4">
        <f t="shared" si="4"/>
        <v>47676.461266563638</v>
      </c>
    </row>
    <row r="126" spans="1:5" x14ac:dyDescent="0.2">
      <c r="A126" s="5">
        <v>33117</v>
      </c>
      <c r="B126" s="6">
        <v>252550</v>
      </c>
      <c r="C126" s="6">
        <v>103747</v>
      </c>
      <c r="D126" s="7">
        <f t="shared" si="3"/>
        <v>1.3840024550904766</v>
      </c>
      <c r="E126" s="4">
        <f t="shared" si="4"/>
        <v>47428.380133495542</v>
      </c>
    </row>
    <row r="127" spans="1:5" x14ac:dyDescent="0.2">
      <c r="A127" s="5">
        <v>33208</v>
      </c>
      <c r="B127" s="6">
        <v>253941</v>
      </c>
      <c r="C127" s="6">
        <v>104984</v>
      </c>
      <c r="D127" s="7">
        <f t="shared" si="3"/>
        <v>1.3916252918159997</v>
      </c>
      <c r="E127" s="4">
        <f t="shared" si="4"/>
        <v>47689.607125242495</v>
      </c>
    </row>
    <row r="128" spans="1:5" x14ac:dyDescent="0.2">
      <c r="A128" s="5">
        <v>33298</v>
      </c>
      <c r="B128" s="6">
        <v>250751</v>
      </c>
      <c r="C128" s="6">
        <v>103579</v>
      </c>
      <c r="D128" s="7">
        <f t="shared" si="3"/>
        <v>1.374143732395138</v>
      </c>
      <c r="E128" s="4">
        <f t="shared" si="4"/>
        <v>47090.531565448982</v>
      </c>
    </row>
    <row r="129" spans="1:5" x14ac:dyDescent="0.2">
      <c r="A129" s="5">
        <v>33390</v>
      </c>
      <c r="B129" s="6">
        <v>250227</v>
      </c>
      <c r="C129" s="6">
        <v>103653</v>
      </c>
      <c r="D129" s="7">
        <f t="shared" si="3"/>
        <v>1.371272153355473</v>
      </c>
      <c r="E129" s="4">
        <f t="shared" si="4"/>
        <v>46992.125423338708</v>
      </c>
    </row>
    <row r="130" spans="1:5" x14ac:dyDescent="0.2">
      <c r="A130" s="5">
        <v>33482</v>
      </c>
      <c r="B130" s="6">
        <v>251370</v>
      </c>
      <c r="C130" s="6">
        <v>104414</v>
      </c>
      <c r="D130" s="7">
        <f t="shared" si="3"/>
        <v>1.3775359221385592</v>
      </c>
      <c r="E130" s="4">
        <f t="shared" si="4"/>
        <v>47206.778515766287</v>
      </c>
    </row>
    <row r="131" spans="1:5" x14ac:dyDescent="0.2">
      <c r="A131" s="5">
        <v>33573</v>
      </c>
      <c r="B131" s="6">
        <v>251546</v>
      </c>
      <c r="C131" s="6">
        <v>105384</v>
      </c>
      <c r="D131" s="7">
        <f t="shared" ref="D131:D194" si="5">B131/$B$84</f>
        <v>1.3785004219686756</v>
      </c>
      <c r="E131" s="4">
        <f t="shared" ref="E131:E194" si="6">D131*$C$84</f>
        <v>47239.830960444546</v>
      </c>
    </row>
    <row r="132" spans="1:5" x14ac:dyDescent="0.2">
      <c r="A132" s="5">
        <v>33664</v>
      </c>
      <c r="B132" s="6">
        <v>253539</v>
      </c>
      <c r="C132" s="6">
        <v>106904</v>
      </c>
      <c r="D132" s="7">
        <f t="shared" si="5"/>
        <v>1.389422286522211</v>
      </c>
      <c r="E132" s="4">
        <f t="shared" si="6"/>
        <v>47614.112336829647</v>
      </c>
    </row>
    <row r="133" spans="1:5" x14ac:dyDescent="0.2">
      <c r="A133" s="5">
        <v>33756</v>
      </c>
      <c r="B133" s="6">
        <v>255375</v>
      </c>
      <c r="C133" s="6">
        <v>107315</v>
      </c>
      <c r="D133" s="7">
        <f t="shared" si="5"/>
        <v>1.3994837733863807</v>
      </c>
      <c r="E133" s="4">
        <f t="shared" si="6"/>
        <v>47958.909430177882</v>
      </c>
    </row>
    <row r="134" spans="1:5" x14ac:dyDescent="0.2">
      <c r="A134" s="5">
        <v>33848</v>
      </c>
      <c r="B134" s="6">
        <v>257851</v>
      </c>
      <c r="C134" s="6">
        <v>108347</v>
      </c>
      <c r="D134" s="7">
        <f t="shared" si="5"/>
        <v>1.4130525323600653</v>
      </c>
      <c r="E134" s="4">
        <f t="shared" si="6"/>
        <v>48423.897231447081</v>
      </c>
    </row>
    <row r="135" spans="1:5" x14ac:dyDescent="0.2">
      <c r="A135" s="5">
        <v>33939</v>
      </c>
      <c r="B135" s="6">
        <v>263251</v>
      </c>
      <c r="C135" s="6">
        <v>110535</v>
      </c>
      <c r="D135" s="7">
        <f t="shared" si="5"/>
        <v>1.4426451407840946</v>
      </c>
      <c r="E135" s="4">
        <f t="shared" si="6"/>
        <v>49438.006329530137</v>
      </c>
    </row>
    <row r="136" spans="1:5" x14ac:dyDescent="0.2">
      <c r="A136" s="5">
        <v>34029</v>
      </c>
      <c r="B136" s="6">
        <v>265076</v>
      </c>
      <c r="C136" s="6">
        <v>112418</v>
      </c>
      <c r="D136" s="7">
        <f t="shared" si="5"/>
        <v>1.4526463464088821</v>
      </c>
      <c r="E136" s="4">
        <f t="shared" si="6"/>
        <v>49780.737645085981</v>
      </c>
    </row>
    <row r="137" spans="1:5" x14ac:dyDescent="0.2">
      <c r="A137" s="5">
        <v>34121</v>
      </c>
      <c r="B137" s="6">
        <v>266590</v>
      </c>
      <c r="C137" s="6">
        <v>113574</v>
      </c>
      <c r="D137" s="7">
        <f t="shared" si="5"/>
        <v>1.4609432369929525</v>
      </c>
      <c r="E137" s="4">
        <f t="shared" si="6"/>
        <v>50065.063788511492</v>
      </c>
    </row>
    <row r="138" spans="1:5" x14ac:dyDescent="0.2">
      <c r="A138" s="5">
        <v>34213</v>
      </c>
      <c r="B138" s="6">
        <v>266912</v>
      </c>
      <c r="C138" s="6">
        <v>113419</v>
      </c>
      <c r="D138" s="7">
        <f t="shared" si="5"/>
        <v>1.4627078332730521</v>
      </c>
      <c r="E138" s="4">
        <f t="shared" si="6"/>
        <v>50125.534738434224</v>
      </c>
    </row>
    <row r="139" spans="1:5" x14ac:dyDescent="0.2">
      <c r="A139" s="5">
        <v>34304</v>
      </c>
      <c r="B139" s="6">
        <v>271795</v>
      </c>
      <c r="C139" s="6">
        <v>115809</v>
      </c>
      <c r="D139" s="7">
        <f t="shared" si="5"/>
        <v>1.4894672234461142</v>
      </c>
      <c r="E139" s="4">
        <f t="shared" si="6"/>
        <v>51042.552280274889</v>
      </c>
    </row>
    <row r="140" spans="1:5" x14ac:dyDescent="0.2">
      <c r="A140" s="5">
        <v>34394</v>
      </c>
      <c r="B140" s="6">
        <v>276328</v>
      </c>
      <c r="C140" s="6">
        <v>118169</v>
      </c>
      <c r="D140" s="7">
        <f t="shared" si="5"/>
        <v>1.5143085741842852</v>
      </c>
      <c r="E140" s="4">
        <f t="shared" si="6"/>
        <v>51893.840528721274</v>
      </c>
    </row>
    <row r="141" spans="1:5" x14ac:dyDescent="0.2">
      <c r="A141" s="5">
        <v>34486</v>
      </c>
      <c r="B141" s="6">
        <v>279621</v>
      </c>
      <c r="C141" s="6">
        <v>119694</v>
      </c>
      <c r="D141" s="7">
        <f t="shared" si="5"/>
        <v>1.532354585210272</v>
      </c>
      <c r="E141" s="4">
        <f t="shared" si="6"/>
        <v>52512.259280570812</v>
      </c>
    </row>
    <row r="142" spans="1:5" x14ac:dyDescent="0.2">
      <c r="A142" s="5">
        <v>34578</v>
      </c>
      <c r="B142" s="6">
        <v>281753</v>
      </c>
      <c r="C142" s="6">
        <v>123230</v>
      </c>
      <c r="D142" s="7">
        <f t="shared" si="5"/>
        <v>1.5440381854250924</v>
      </c>
      <c r="E142" s="4">
        <f t="shared" si="6"/>
        <v>52912.644576332495</v>
      </c>
    </row>
    <row r="143" spans="1:5" x14ac:dyDescent="0.2">
      <c r="A143" s="5">
        <v>34669</v>
      </c>
      <c r="B143" s="6">
        <v>284861</v>
      </c>
      <c r="C143" s="6">
        <v>122598</v>
      </c>
      <c r="D143" s="7">
        <f t="shared" si="5"/>
        <v>1.5610703756069224</v>
      </c>
      <c r="E143" s="4">
        <f t="shared" si="6"/>
        <v>53496.320701673627</v>
      </c>
    </row>
    <row r="144" spans="1:5" x14ac:dyDescent="0.2">
      <c r="A144" s="5">
        <v>34759</v>
      </c>
      <c r="B144" s="6">
        <v>284635</v>
      </c>
      <c r="C144" s="6">
        <v>124763</v>
      </c>
      <c r="D144" s="7">
        <f t="shared" si="5"/>
        <v>1.5598318701432501</v>
      </c>
      <c r="E144" s="4">
        <f t="shared" si="6"/>
        <v>53453.878357939037</v>
      </c>
    </row>
    <row r="145" spans="1:5" x14ac:dyDescent="0.2">
      <c r="A145" s="5">
        <v>34851</v>
      </c>
      <c r="B145" s="6">
        <v>285991</v>
      </c>
      <c r="C145" s="6">
        <v>126466</v>
      </c>
      <c r="D145" s="7">
        <f t="shared" si="5"/>
        <v>1.5672629029252843</v>
      </c>
      <c r="E145" s="4">
        <f t="shared" si="6"/>
        <v>53708.532420346564</v>
      </c>
    </row>
    <row r="146" spans="1:5" x14ac:dyDescent="0.2">
      <c r="A146" s="5">
        <v>34943</v>
      </c>
      <c r="B146" s="6">
        <v>292600</v>
      </c>
      <c r="C146" s="6">
        <v>129185</v>
      </c>
      <c r="D146" s="7">
        <f t="shared" si="5"/>
        <v>1.6034809675686932</v>
      </c>
      <c r="E146" s="4">
        <f t="shared" si="6"/>
        <v>54949.689277611549</v>
      </c>
    </row>
    <row r="147" spans="1:5" x14ac:dyDescent="0.2">
      <c r="A147" s="5">
        <v>35034</v>
      </c>
      <c r="B147" s="6">
        <v>292553</v>
      </c>
      <c r="C147" s="6">
        <v>131785</v>
      </c>
      <c r="D147" s="7">
        <f t="shared" si="5"/>
        <v>1.6032234022731506</v>
      </c>
      <c r="E147" s="4">
        <f t="shared" si="6"/>
        <v>54940.8627724986</v>
      </c>
    </row>
    <row r="148" spans="1:5" x14ac:dyDescent="0.2">
      <c r="A148" s="5">
        <v>35125</v>
      </c>
      <c r="B148" s="6">
        <v>297073</v>
      </c>
      <c r="C148" s="6">
        <v>133409</v>
      </c>
      <c r="D148" s="7">
        <f t="shared" si="5"/>
        <v>1.6279935115465973</v>
      </c>
      <c r="E148" s="4">
        <f t="shared" si="6"/>
        <v>55789.709647190342</v>
      </c>
    </row>
    <row r="149" spans="1:5" x14ac:dyDescent="0.2">
      <c r="A149" s="5">
        <v>35217</v>
      </c>
      <c r="B149" s="6">
        <v>298975</v>
      </c>
      <c r="C149" s="6">
        <v>135523</v>
      </c>
      <c r="D149" s="7">
        <f t="shared" si="5"/>
        <v>1.638416685847061</v>
      </c>
      <c r="E149" s="4">
        <f t="shared" si="6"/>
        <v>56146.901407292935</v>
      </c>
    </row>
    <row r="150" spans="1:5" x14ac:dyDescent="0.2">
      <c r="A150" s="5">
        <v>35309</v>
      </c>
      <c r="B150" s="6">
        <v>301360</v>
      </c>
      <c r="C150" s="6">
        <v>136171</v>
      </c>
      <c r="D150" s="7">
        <f t="shared" si="5"/>
        <v>1.6514867545676739</v>
      </c>
      <c r="E150" s="4">
        <f t="shared" si="6"/>
        <v>56594.799592279618</v>
      </c>
    </row>
    <row r="151" spans="1:5" x14ac:dyDescent="0.2">
      <c r="A151" s="5">
        <v>35400</v>
      </c>
      <c r="B151" s="6">
        <v>304236</v>
      </c>
      <c r="C151" s="6">
        <v>138135</v>
      </c>
      <c r="D151" s="7">
        <f t="shared" si="5"/>
        <v>1.667247558609805</v>
      </c>
      <c r="E151" s="4">
        <f t="shared" si="6"/>
        <v>57134.906585999408</v>
      </c>
    </row>
    <row r="152" spans="1:5" x14ac:dyDescent="0.2">
      <c r="A152" s="5">
        <v>35490</v>
      </c>
      <c r="B152" s="6">
        <v>306373</v>
      </c>
      <c r="C152" s="6">
        <v>139429</v>
      </c>
      <c r="D152" s="7">
        <f t="shared" si="5"/>
        <v>1.678958559387981</v>
      </c>
      <c r="E152" s="4">
        <f t="shared" si="6"/>
        <v>57536.230871666718</v>
      </c>
    </row>
    <row r="153" spans="1:5" x14ac:dyDescent="0.2">
      <c r="A153" s="5">
        <v>35582</v>
      </c>
      <c r="B153" s="6">
        <v>315512</v>
      </c>
      <c r="C153" s="6">
        <v>142988</v>
      </c>
      <c r="D153" s="7">
        <f t="shared" si="5"/>
        <v>1.7290413090893149</v>
      </c>
      <c r="E153" s="4">
        <f t="shared" si="6"/>
        <v>59252.516621181734</v>
      </c>
    </row>
    <row r="154" spans="1:5" x14ac:dyDescent="0.2">
      <c r="A154" s="5">
        <v>35674</v>
      </c>
      <c r="B154" s="6">
        <v>315980</v>
      </c>
      <c r="C154" s="6">
        <v>143892</v>
      </c>
      <c r="D154" s="7">
        <f t="shared" si="5"/>
        <v>1.7316060018193975</v>
      </c>
      <c r="E154" s="4">
        <f t="shared" si="6"/>
        <v>59340.406076348932</v>
      </c>
    </row>
    <row r="155" spans="1:5" x14ac:dyDescent="0.2">
      <c r="A155" s="5">
        <v>35765</v>
      </c>
      <c r="B155" s="6">
        <v>320542</v>
      </c>
      <c r="C155" s="6">
        <v>147721</v>
      </c>
      <c r="D155" s="7">
        <f t="shared" si="5"/>
        <v>1.7566062758250309</v>
      </c>
      <c r="E155" s="4">
        <f t="shared" si="6"/>
        <v>60197.140466247984</v>
      </c>
    </row>
    <row r="156" spans="1:5" x14ac:dyDescent="0.2">
      <c r="A156" s="5">
        <v>35855</v>
      </c>
      <c r="B156" s="6">
        <v>322495</v>
      </c>
      <c r="C156" s="6">
        <v>148837</v>
      </c>
      <c r="D156" s="7">
        <f t="shared" si="5"/>
        <v>1.7673089358717216</v>
      </c>
      <c r="E156" s="4">
        <f t="shared" si="6"/>
        <v>60563.909923388026</v>
      </c>
    </row>
    <row r="157" spans="1:5" x14ac:dyDescent="0.2">
      <c r="A157" s="5">
        <v>35947</v>
      </c>
      <c r="B157" s="6">
        <v>325872</v>
      </c>
      <c r="C157" s="6">
        <v>150050</v>
      </c>
      <c r="D157" s="7">
        <f t="shared" si="5"/>
        <v>1.785815276362082</v>
      </c>
      <c r="E157" s="4">
        <f t="shared" si="6"/>
        <v>61198.103705652189</v>
      </c>
    </row>
    <row r="158" spans="1:5" x14ac:dyDescent="0.2">
      <c r="A158" s="5">
        <v>36039</v>
      </c>
      <c r="B158" s="6">
        <v>331941</v>
      </c>
      <c r="C158" s="6">
        <v>152688</v>
      </c>
      <c r="D158" s="7">
        <f t="shared" si="5"/>
        <v>1.8190740801630882</v>
      </c>
      <c r="E158" s="4">
        <f t="shared" si="6"/>
        <v>62337.849653108868</v>
      </c>
    </row>
    <row r="159" spans="1:5" x14ac:dyDescent="0.2">
      <c r="A159" s="5">
        <v>36130</v>
      </c>
      <c r="B159" s="6">
        <v>337084</v>
      </c>
      <c r="C159" s="6">
        <v>155604</v>
      </c>
      <c r="D159" s="7">
        <f t="shared" si="5"/>
        <v>1.8472582996306404</v>
      </c>
      <c r="E159" s="4">
        <f t="shared" si="6"/>
        <v>63303.694670042416</v>
      </c>
    </row>
    <row r="160" spans="1:5" x14ac:dyDescent="0.2">
      <c r="A160" s="5">
        <v>36220</v>
      </c>
      <c r="B160" s="6">
        <v>339593</v>
      </c>
      <c r="C160" s="6">
        <v>157062</v>
      </c>
      <c r="D160" s="7">
        <f t="shared" si="5"/>
        <v>1.8610079023224717</v>
      </c>
      <c r="E160" s="4">
        <f t="shared" si="6"/>
        <v>63774.879804688782</v>
      </c>
    </row>
    <row r="161" spans="1:5" x14ac:dyDescent="0.2">
      <c r="A161" s="5">
        <v>36312</v>
      </c>
      <c r="B161" s="6">
        <v>340877</v>
      </c>
      <c r="C161" s="6">
        <v>157994</v>
      </c>
      <c r="D161" s="7">
        <f t="shared" si="5"/>
        <v>1.8680443669921853</v>
      </c>
      <c r="E161" s="4">
        <f t="shared" si="6"/>
        <v>64016.012412455202</v>
      </c>
    </row>
    <row r="162" spans="1:5" x14ac:dyDescent="0.2">
      <c r="A162" s="5">
        <v>36404</v>
      </c>
      <c r="B162" s="6">
        <v>344646</v>
      </c>
      <c r="C162" s="6">
        <v>160793</v>
      </c>
      <c r="D162" s="7">
        <f t="shared" si="5"/>
        <v>1.8886989116496236</v>
      </c>
      <c r="E162" s="4">
        <f t="shared" si="6"/>
        <v>64723.823003320947</v>
      </c>
    </row>
    <row r="163" spans="1:5" x14ac:dyDescent="0.2">
      <c r="A163" s="5">
        <v>36495</v>
      </c>
      <c r="B163" s="6">
        <v>350510</v>
      </c>
      <c r="C163" s="6">
        <v>163672</v>
      </c>
      <c r="D163" s="7">
        <f t="shared" si="5"/>
        <v>1.9208342923530508</v>
      </c>
      <c r="E163" s="4">
        <f t="shared" si="6"/>
        <v>65825.070364646701</v>
      </c>
    </row>
    <row r="164" spans="1:5" x14ac:dyDescent="0.2">
      <c r="A164" s="5">
        <v>36586</v>
      </c>
      <c r="B164" s="6">
        <v>351882</v>
      </c>
      <c r="C164" s="6">
        <v>168608</v>
      </c>
      <c r="D164" s="7">
        <f t="shared" si="5"/>
        <v>1.9283530069378227</v>
      </c>
      <c r="E164" s="4">
        <f t="shared" si="6"/>
        <v>66082.729194752246</v>
      </c>
    </row>
    <row r="165" spans="1:5" x14ac:dyDescent="0.2">
      <c r="A165" s="5">
        <v>36678</v>
      </c>
      <c r="B165" s="6">
        <v>355304</v>
      </c>
      <c r="C165" s="6">
        <v>170857</v>
      </c>
      <c r="D165" s="7">
        <f t="shared" si="5"/>
        <v>1.9471059524983834</v>
      </c>
      <c r="E165" s="4">
        <f t="shared" si="6"/>
        <v>66725.373886167101</v>
      </c>
    </row>
    <row r="166" spans="1:5" x14ac:dyDescent="0.2">
      <c r="A166" s="5">
        <v>36770</v>
      </c>
      <c r="B166" s="6">
        <v>356301</v>
      </c>
      <c r="C166" s="6">
        <v>175080</v>
      </c>
      <c r="D166" s="7">
        <f t="shared" si="5"/>
        <v>1.9525696248314865</v>
      </c>
      <c r="E166" s="4">
        <f t="shared" si="6"/>
        <v>66912.608473350207</v>
      </c>
    </row>
    <row r="167" spans="1:5" x14ac:dyDescent="0.2">
      <c r="A167" s="5">
        <v>36861</v>
      </c>
      <c r="B167" s="6">
        <v>354898</v>
      </c>
      <c r="C167" s="6">
        <v>174197</v>
      </c>
      <c r="D167" s="7">
        <f t="shared" si="5"/>
        <v>1.9448810267539101</v>
      </c>
      <c r="E167" s="4">
        <f t="shared" si="6"/>
        <v>66649.127905829737</v>
      </c>
    </row>
    <row r="168" spans="1:5" x14ac:dyDescent="0.2">
      <c r="A168" s="5">
        <v>36951</v>
      </c>
      <c r="B168" s="6">
        <v>358245</v>
      </c>
      <c r="C168" s="6">
        <v>179072</v>
      </c>
      <c r="D168" s="7">
        <f t="shared" si="5"/>
        <v>1.963222963864137</v>
      </c>
      <c r="E168" s="4">
        <f t="shared" si="6"/>
        <v>67277.687748660115</v>
      </c>
    </row>
    <row r="169" spans="1:5" x14ac:dyDescent="0.2">
      <c r="A169" s="5">
        <v>37043</v>
      </c>
      <c r="B169" s="6">
        <v>361385</v>
      </c>
      <c r="C169" s="6">
        <v>180917</v>
      </c>
      <c r="D169" s="7">
        <f t="shared" si="5"/>
        <v>1.980430517651443</v>
      </c>
      <c r="E169" s="4">
        <f t="shared" si="6"/>
        <v>67867.373409397303</v>
      </c>
    </row>
    <row r="170" spans="1:5" x14ac:dyDescent="0.2">
      <c r="A170" s="5">
        <v>37135</v>
      </c>
      <c r="B170" s="6">
        <v>365519</v>
      </c>
      <c r="C170" s="6">
        <v>184647</v>
      </c>
      <c r="D170" s="7">
        <f t="shared" si="5"/>
        <v>2.0030853034338385</v>
      </c>
      <c r="E170" s="4">
        <f t="shared" si="6"/>
        <v>68643.730263374207</v>
      </c>
    </row>
    <row r="171" spans="1:5" x14ac:dyDescent="0.2">
      <c r="A171" s="5">
        <v>37226</v>
      </c>
      <c r="B171" s="6">
        <v>369880</v>
      </c>
      <c r="C171" s="6">
        <v>187133</v>
      </c>
      <c r="D171" s="7">
        <f t="shared" si="5"/>
        <v>2.0269840747925776</v>
      </c>
      <c r="E171" s="4">
        <f t="shared" si="6"/>
        <v>69462.717259066834</v>
      </c>
    </row>
    <row r="172" spans="1:5" x14ac:dyDescent="0.2">
      <c r="A172" s="5">
        <v>37316</v>
      </c>
      <c r="B172" s="6">
        <v>372764</v>
      </c>
      <c r="C172" s="6">
        <v>191286</v>
      </c>
      <c r="D172" s="7">
        <f t="shared" si="5"/>
        <v>2.0427887197360777</v>
      </c>
      <c r="E172" s="4">
        <f t="shared" si="6"/>
        <v>70004.32663663564</v>
      </c>
    </row>
    <row r="173" spans="1:5" x14ac:dyDescent="0.2">
      <c r="A173" s="5">
        <v>37408</v>
      </c>
      <c r="B173" s="6">
        <v>379182</v>
      </c>
      <c r="C173" s="6">
        <v>194598</v>
      </c>
      <c r="D173" s="7">
        <f t="shared" si="5"/>
        <v>2.0779600828593034</v>
      </c>
      <c r="E173" s="4">
        <f t="shared" si="6"/>
        <v>71209.614079505467</v>
      </c>
    </row>
    <row r="174" spans="1:5" x14ac:dyDescent="0.2">
      <c r="A174" s="5">
        <v>37500</v>
      </c>
      <c r="B174" s="6">
        <v>380118</v>
      </c>
      <c r="C174" s="6">
        <v>197262</v>
      </c>
      <c r="D174" s="7">
        <f t="shared" si="5"/>
        <v>2.0830894683194687</v>
      </c>
      <c r="E174" s="4">
        <f t="shared" si="6"/>
        <v>71385.392989839878</v>
      </c>
    </row>
    <row r="175" spans="1:5" x14ac:dyDescent="0.2">
      <c r="A175" s="5">
        <v>37591</v>
      </c>
      <c r="B175" s="6">
        <v>383312</v>
      </c>
      <c r="C175" s="6">
        <v>200533</v>
      </c>
      <c r="D175" s="7">
        <f t="shared" si="5"/>
        <v>2.1005929481910148</v>
      </c>
      <c r="E175" s="4">
        <f t="shared" si="6"/>
        <v>71985.219741557885</v>
      </c>
    </row>
    <row r="176" spans="1:5" x14ac:dyDescent="0.2">
      <c r="A176" s="5">
        <v>37681</v>
      </c>
      <c r="B176" s="6">
        <v>384195</v>
      </c>
      <c r="C176" s="6">
        <v>202726</v>
      </c>
      <c r="D176" s="7">
        <f t="shared" si="5"/>
        <v>2.1054318876796105</v>
      </c>
      <c r="E176" s="4">
        <f t="shared" si="6"/>
        <v>72151.045358892574</v>
      </c>
    </row>
    <row r="177" spans="1:5" x14ac:dyDescent="0.2">
      <c r="A177" s="5">
        <v>37773</v>
      </c>
      <c r="B177" s="6">
        <v>385697</v>
      </c>
      <c r="C177" s="6">
        <v>204700</v>
      </c>
      <c r="D177" s="7">
        <f t="shared" si="5"/>
        <v>2.1136630169116275</v>
      </c>
      <c r="E177" s="4">
        <f t="shared" si="6"/>
        <v>72433.117926544568</v>
      </c>
    </row>
    <row r="178" spans="1:5" x14ac:dyDescent="0.2">
      <c r="A178" s="5">
        <v>37865</v>
      </c>
      <c r="B178" s="6">
        <v>392275</v>
      </c>
      <c r="C178" s="6">
        <v>209422</v>
      </c>
      <c r="D178" s="7">
        <f t="shared" si="5"/>
        <v>2.1497111980622323</v>
      </c>
      <c r="E178" s="4">
        <f t="shared" si="6"/>
        <v>73668.453046394643</v>
      </c>
    </row>
    <row r="179" spans="1:5" x14ac:dyDescent="0.2">
      <c r="A179" s="5">
        <v>37956</v>
      </c>
      <c r="B179" s="6">
        <v>398941</v>
      </c>
      <c r="C179" s="6">
        <v>214673</v>
      </c>
      <c r="D179" s="7">
        <f t="shared" si="5"/>
        <v>2.186241629127895</v>
      </c>
      <c r="E179" s="4">
        <f t="shared" si="6"/>
        <v>74920.314388583836</v>
      </c>
    </row>
    <row r="180" spans="1:5" x14ac:dyDescent="0.2">
      <c r="A180" s="5">
        <v>38047</v>
      </c>
      <c r="B180" s="6">
        <v>401918</v>
      </c>
      <c r="C180" s="6">
        <v>218833</v>
      </c>
      <c r="D180" s="7">
        <f t="shared" si="5"/>
        <v>2.2025559245498085</v>
      </c>
      <c r="E180" s="4">
        <f t="shared" si="6"/>
        <v>75479.388978397386</v>
      </c>
    </row>
    <row r="181" spans="1:5" x14ac:dyDescent="0.2">
      <c r="A181" s="5">
        <v>38139</v>
      </c>
      <c r="B181" s="6">
        <v>404879</v>
      </c>
      <c r="C181" s="6">
        <v>222271</v>
      </c>
      <c r="D181" s="7">
        <f t="shared" si="5"/>
        <v>2.218782538168985</v>
      </c>
      <c r="E181" s="4">
        <f t="shared" si="6"/>
        <v>76035.458800512948</v>
      </c>
    </row>
    <row r="182" spans="1:5" x14ac:dyDescent="0.2">
      <c r="A182" s="5">
        <v>38231</v>
      </c>
      <c r="B182" s="6">
        <v>407620</v>
      </c>
      <c r="C182" s="6">
        <v>225362</v>
      </c>
      <c r="D182" s="7">
        <f t="shared" si="5"/>
        <v>2.2338035270005152</v>
      </c>
      <c r="E182" s="4">
        <f t="shared" si="6"/>
        <v>76550.213066780649</v>
      </c>
    </row>
    <row r="183" spans="1:5" x14ac:dyDescent="0.2">
      <c r="A183" s="5">
        <v>38322</v>
      </c>
      <c r="B183" s="6">
        <v>410742</v>
      </c>
      <c r="C183" s="6">
        <v>229295</v>
      </c>
      <c r="D183" s="7">
        <f t="shared" si="5"/>
        <v>2.250912438759741</v>
      </c>
      <c r="E183" s="4">
        <f t="shared" si="6"/>
        <v>77136.518363857569</v>
      </c>
    </row>
    <row r="184" spans="1:5" x14ac:dyDescent="0.2">
      <c r="A184" s="5">
        <v>38412</v>
      </c>
      <c r="B184" s="6">
        <v>414115</v>
      </c>
      <c r="C184" s="6">
        <v>233631</v>
      </c>
      <c r="D184" s="7">
        <f t="shared" si="5"/>
        <v>2.2693968587994169</v>
      </c>
      <c r="E184" s="4">
        <f t="shared" si="6"/>
        <v>77769.960954197217</v>
      </c>
    </row>
    <row r="185" spans="1:5" x14ac:dyDescent="0.2">
      <c r="A185" s="5">
        <v>38504</v>
      </c>
      <c r="B185" s="6">
        <v>415961</v>
      </c>
      <c r="C185" s="6">
        <v>238560</v>
      </c>
      <c r="D185" s="7">
        <f t="shared" si="5"/>
        <v>2.2795131467902978</v>
      </c>
      <c r="E185" s="4">
        <f t="shared" si="6"/>
        <v>78116.636027356712</v>
      </c>
    </row>
    <row r="186" spans="1:5" x14ac:dyDescent="0.2">
      <c r="A186" s="5">
        <v>38596</v>
      </c>
      <c r="B186" s="6">
        <v>420475</v>
      </c>
      <c r="C186" s="6">
        <v>244095</v>
      </c>
      <c r="D186" s="7">
        <f t="shared" si="5"/>
        <v>2.3042503753877179</v>
      </c>
      <c r="E186" s="4">
        <f t="shared" si="6"/>
        <v>78964.35611416171</v>
      </c>
    </row>
    <row r="187" spans="1:5" x14ac:dyDescent="0.2">
      <c r="A187" s="5">
        <v>38687</v>
      </c>
      <c r="B187" s="6">
        <v>424018</v>
      </c>
      <c r="C187" s="6">
        <v>249501</v>
      </c>
      <c r="D187" s="7">
        <f t="shared" si="5"/>
        <v>2.3236664145814836</v>
      </c>
      <c r="E187" s="4">
        <f t="shared" si="6"/>
        <v>79629.724361292858</v>
      </c>
    </row>
    <row r="188" spans="1:5" x14ac:dyDescent="0.2">
      <c r="A188" s="5">
        <v>38777</v>
      </c>
      <c r="B188" s="6">
        <v>424302</v>
      </c>
      <c r="C188" s="6">
        <v>252482</v>
      </c>
      <c r="D188" s="7">
        <f t="shared" si="5"/>
        <v>2.3252227665800809</v>
      </c>
      <c r="E188" s="4">
        <f t="shared" si="6"/>
        <v>79683.058987932789</v>
      </c>
    </row>
    <row r="189" spans="1:5" x14ac:dyDescent="0.2">
      <c r="A189" s="5">
        <v>38869</v>
      </c>
      <c r="B189" s="6">
        <v>425319</v>
      </c>
      <c r="C189" s="6">
        <v>255787</v>
      </c>
      <c r="D189" s="7">
        <f t="shared" si="5"/>
        <v>2.3307960411666064</v>
      </c>
      <c r="E189" s="4">
        <f t="shared" si="6"/>
        <v>79874.049534738442</v>
      </c>
    </row>
    <row r="190" spans="1:5" x14ac:dyDescent="0.2">
      <c r="A190" s="5">
        <v>38961</v>
      </c>
      <c r="B190" s="6">
        <v>431834</v>
      </c>
      <c r="C190" s="6">
        <v>263275</v>
      </c>
      <c r="D190" s="7">
        <f t="shared" si="5"/>
        <v>2.3664989752189305</v>
      </c>
      <c r="E190" s="4">
        <f t="shared" si="6"/>
        <v>81097.553381777529</v>
      </c>
    </row>
    <row r="191" spans="1:5" x14ac:dyDescent="0.2">
      <c r="A191" s="5">
        <v>39052</v>
      </c>
      <c r="B191" s="6">
        <v>437260</v>
      </c>
      <c r="C191" s="6">
        <v>270302</v>
      </c>
      <c r="D191" s="7">
        <f t="shared" si="5"/>
        <v>2.3962340665724087</v>
      </c>
      <c r="E191" s="4">
        <f t="shared" si="6"/>
        <v>82116.545227369876</v>
      </c>
    </row>
    <row r="192" spans="1:5" x14ac:dyDescent="0.2">
      <c r="A192" s="5">
        <v>39142</v>
      </c>
      <c r="B192" s="6">
        <v>443222</v>
      </c>
      <c r="C192" s="6">
        <v>277175</v>
      </c>
      <c r="D192" s="7">
        <f t="shared" si="5"/>
        <v>2.4289064983176054</v>
      </c>
      <c r="E192" s="4">
        <f t="shared" si="6"/>
        <v>83236.196790846021</v>
      </c>
    </row>
    <row r="193" spans="1:5" x14ac:dyDescent="0.2">
      <c r="A193" s="5">
        <v>39234</v>
      </c>
      <c r="B193" s="6">
        <v>445997</v>
      </c>
      <c r="C193" s="6">
        <v>281231</v>
      </c>
      <c r="D193" s="7">
        <f t="shared" si="5"/>
        <v>2.4441138109799536</v>
      </c>
      <c r="E193" s="4">
        <f t="shared" si="6"/>
        <v>83757.336188472036</v>
      </c>
    </row>
    <row r="194" spans="1:5" x14ac:dyDescent="0.2">
      <c r="A194" s="5">
        <v>39326</v>
      </c>
      <c r="B194" s="6">
        <v>451367</v>
      </c>
      <c r="C194" s="6">
        <v>285703</v>
      </c>
      <c r="D194" s="7">
        <f t="shared" si="5"/>
        <v>2.4735420160238495</v>
      </c>
      <c r="E194" s="4">
        <f t="shared" si="6"/>
        <v>84765.8113471213</v>
      </c>
    </row>
    <row r="195" spans="1:5" x14ac:dyDescent="0.2">
      <c r="A195" s="5">
        <v>39417</v>
      </c>
      <c r="B195" s="6">
        <v>453019</v>
      </c>
      <c r="C195" s="6">
        <v>291102</v>
      </c>
      <c r="D195" s="7">
        <f t="shared" ref="D195:D258" si="7">B195/$B$84</f>
        <v>2.4825951621565339</v>
      </c>
      <c r="E195" s="4">
        <f t="shared" ref="E195:E258" si="8">D195*$C$84</f>
        <v>85076.053611942261</v>
      </c>
    </row>
    <row r="196" spans="1:5" x14ac:dyDescent="0.2">
      <c r="A196" s="5">
        <v>39508</v>
      </c>
      <c r="B196" s="6">
        <v>458046</v>
      </c>
      <c r="C196" s="6">
        <v>298851</v>
      </c>
      <c r="D196" s="7">
        <f t="shared" si="7"/>
        <v>2.5101436885542365</v>
      </c>
      <c r="E196" s="4">
        <f t="shared" si="8"/>
        <v>86020.114063065135</v>
      </c>
    </row>
    <row r="197" spans="1:5" x14ac:dyDescent="0.2">
      <c r="A197" s="5">
        <v>39600</v>
      </c>
      <c r="B197" s="6">
        <v>459602</v>
      </c>
      <c r="C197" s="6">
        <v>306615</v>
      </c>
      <c r="D197" s="7">
        <f t="shared" si="7"/>
        <v>2.5186707438704938</v>
      </c>
      <c r="E197" s="4">
        <f t="shared" si="8"/>
        <v>86312.327721697948</v>
      </c>
    </row>
    <row r="198" spans="1:5" x14ac:dyDescent="0.2">
      <c r="A198" s="5">
        <v>39692</v>
      </c>
      <c r="B198" s="6">
        <v>462855</v>
      </c>
      <c r="C198" s="6">
        <v>316397</v>
      </c>
      <c r="D198" s="7">
        <f t="shared" si="7"/>
        <v>2.5364975503896359</v>
      </c>
      <c r="E198" s="4">
        <f t="shared" si="8"/>
        <v>86923.234554302428</v>
      </c>
    </row>
    <row r="199" spans="1:5" x14ac:dyDescent="0.2">
      <c r="A199" s="5">
        <v>39783</v>
      </c>
      <c r="B199" s="6">
        <v>460883</v>
      </c>
      <c r="C199" s="6">
        <v>316940</v>
      </c>
      <c r="D199" s="7">
        <f t="shared" si="7"/>
        <v>2.5256907682021943</v>
      </c>
      <c r="E199" s="4">
        <f t="shared" si="8"/>
        <v>86552.896935520999</v>
      </c>
    </row>
    <row r="200" spans="1:5" x14ac:dyDescent="0.2">
      <c r="A200" s="5">
        <v>39873</v>
      </c>
      <c r="B200" s="6">
        <v>465520</v>
      </c>
      <c r="C200" s="6">
        <v>318421</v>
      </c>
      <c r="D200" s="7">
        <f t="shared" si="7"/>
        <v>2.5511020506581614</v>
      </c>
      <c r="E200" s="4">
        <f t="shared" si="8"/>
        <v>87423.716174004527</v>
      </c>
    </row>
    <row r="201" spans="1:5" x14ac:dyDescent="0.2">
      <c r="A201" s="5">
        <v>39965</v>
      </c>
      <c r="B201" s="6">
        <v>468393</v>
      </c>
      <c r="C201" s="6">
        <v>313814</v>
      </c>
      <c r="D201" s="7">
        <f t="shared" si="7"/>
        <v>2.5668464143622791</v>
      </c>
      <c r="E201" s="4">
        <f t="shared" si="8"/>
        <v>87963.259773780941</v>
      </c>
    </row>
    <row r="202" spans="1:5" x14ac:dyDescent="0.2">
      <c r="A202" s="5">
        <v>40057</v>
      </c>
      <c r="B202" s="6">
        <v>470050</v>
      </c>
      <c r="C202" s="6">
        <v>314857</v>
      </c>
      <c r="D202" s="7">
        <f t="shared" si="7"/>
        <v>2.5759269610583195</v>
      </c>
      <c r="E202" s="4">
        <f t="shared" si="8"/>
        <v>88274.441028507557</v>
      </c>
    </row>
    <row r="203" spans="1:5" x14ac:dyDescent="0.2">
      <c r="A203" s="5">
        <v>40148</v>
      </c>
      <c r="B203" s="6">
        <v>473826</v>
      </c>
      <c r="C203" s="6">
        <v>321978</v>
      </c>
      <c r="D203" s="7">
        <f t="shared" si="7"/>
        <v>2.5966198665044553</v>
      </c>
      <c r="E203" s="4">
        <f t="shared" si="8"/>
        <v>88983.566205241179</v>
      </c>
    </row>
    <row r="204" spans="1:5" x14ac:dyDescent="0.2">
      <c r="A204" s="5">
        <v>40238</v>
      </c>
      <c r="B204" s="6">
        <v>475934</v>
      </c>
      <c r="C204" s="6">
        <v>329458</v>
      </c>
      <c r="D204" s="7">
        <f t="shared" si="7"/>
        <v>2.6081719440151692</v>
      </c>
      <c r="E204" s="4">
        <f t="shared" si="8"/>
        <v>89379.444349455836</v>
      </c>
    </row>
    <row r="205" spans="1:5" x14ac:dyDescent="0.2">
      <c r="A205" s="5">
        <v>40330</v>
      </c>
      <c r="B205" s="6">
        <v>478897</v>
      </c>
      <c r="C205" s="6">
        <v>341052</v>
      </c>
      <c r="D205" s="7">
        <f t="shared" si="7"/>
        <v>2.6244095178596871</v>
      </c>
      <c r="E205" s="4">
        <f t="shared" si="8"/>
        <v>89935.889767533619</v>
      </c>
    </row>
    <row r="206" spans="1:5" x14ac:dyDescent="0.2">
      <c r="A206" s="5">
        <v>40422</v>
      </c>
      <c r="B206" s="6">
        <v>482263</v>
      </c>
      <c r="C206" s="6">
        <v>346004</v>
      </c>
      <c r="D206" s="7">
        <f t="shared" si="7"/>
        <v>2.6428555771106654</v>
      </c>
      <c r="E206" s="4">
        <f t="shared" si="8"/>
        <v>90568.017772005391</v>
      </c>
    </row>
    <row r="207" spans="1:5" x14ac:dyDescent="0.2">
      <c r="A207" s="5">
        <v>40513</v>
      </c>
      <c r="B207" s="6">
        <v>486298</v>
      </c>
      <c r="C207" s="6">
        <v>352107</v>
      </c>
      <c r="D207" s="7">
        <f t="shared" si="7"/>
        <v>2.6649678317386205</v>
      </c>
      <c r="E207" s="4">
        <f t="shared" si="8"/>
        <v>91325.782625850785</v>
      </c>
    </row>
    <row r="208" spans="1:5" x14ac:dyDescent="0.2">
      <c r="A208" s="5">
        <v>40603</v>
      </c>
      <c r="B208" s="6">
        <v>484880</v>
      </c>
      <c r="C208" s="6">
        <v>358017</v>
      </c>
      <c r="D208" s="7">
        <f t="shared" si="7"/>
        <v>2.6571970319709775</v>
      </c>
      <c r="E208" s="4">
        <f t="shared" si="8"/>
        <v>91059.485088613423</v>
      </c>
    </row>
    <row r="209" spans="1:5" x14ac:dyDescent="0.2">
      <c r="A209" s="5">
        <v>40695</v>
      </c>
      <c r="B209" s="6">
        <v>490735</v>
      </c>
      <c r="C209" s="6">
        <v>366941</v>
      </c>
      <c r="D209" s="7">
        <f t="shared" si="7"/>
        <v>2.6892830916603647</v>
      </c>
      <c r="E209" s="4">
        <f t="shared" si="8"/>
        <v>92159.042268109042</v>
      </c>
    </row>
    <row r="210" spans="1:5" x14ac:dyDescent="0.2">
      <c r="A210" s="5">
        <v>40787</v>
      </c>
      <c r="B210" s="6">
        <v>497577</v>
      </c>
      <c r="C210" s="6">
        <v>373550</v>
      </c>
      <c r="D210" s="7">
        <f t="shared" si="7"/>
        <v>2.7267780225561435</v>
      </c>
      <c r="E210" s="4">
        <f t="shared" si="8"/>
        <v>93443.956054976486</v>
      </c>
    </row>
    <row r="211" spans="1:5" x14ac:dyDescent="0.2">
      <c r="A211" s="5">
        <v>40878</v>
      </c>
      <c r="B211" s="6">
        <v>503106</v>
      </c>
      <c r="C211" s="6">
        <v>374487</v>
      </c>
      <c r="D211" s="7">
        <f t="shared" si="7"/>
        <v>2.7570775655147468</v>
      </c>
      <c r="E211" s="4">
        <f t="shared" si="8"/>
        <v>94482.291092624859</v>
      </c>
    </row>
    <row r="212" spans="1:5" x14ac:dyDescent="0.2">
      <c r="A212" s="5">
        <v>40969</v>
      </c>
      <c r="B212" s="6">
        <v>508343</v>
      </c>
      <c r="C212" s="6">
        <v>375468</v>
      </c>
      <c r="D212" s="7">
        <f t="shared" si="7"/>
        <v>2.785776915573384</v>
      </c>
      <c r="E212" s="4">
        <f t="shared" si="8"/>
        <v>95465.789119784298</v>
      </c>
    </row>
    <row r="213" spans="1:5" x14ac:dyDescent="0.2">
      <c r="A213" s="5">
        <v>41061</v>
      </c>
      <c r="B213" s="6">
        <v>511992</v>
      </c>
      <c r="C213" s="6">
        <v>380785</v>
      </c>
      <c r="D213" s="7">
        <f t="shared" si="7"/>
        <v>2.8057738467102884</v>
      </c>
      <c r="E213" s="4">
        <f t="shared" si="8"/>
        <v>96151.063952914876</v>
      </c>
    </row>
    <row r="214" spans="1:5" x14ac:dyDescent="0.2">
      <c r="A214" s="5">
        <v>41153</v>
      </c>
      <c r="B214" s="6">
        <v>515130</v>
      </c>
      <c r="C214" s="6">
        <v>381809</v>
      </c>
      <c r="D214" s="7">
        <f t="shared" si="7"/>
        <v>2.8229704402722522</v>
      </c>
      <c r="E214" s="4">
        <f t="shared" si="8"/>
        <v>96740.374017689814</v>
      </c>
    </row>
    <row r="215" spans="1:5" x14ac:dyDescent="0.2">
      <c r="A215" s="5">
        <v>41244</v>
      </c>
      <c r="B215" s="6">
        <v>517406</v>
      </c>
      <c r="C215" s="6">
        <v>383401</v>
      </c>
      <c r="D215" s="7">
        <f t="shared" si="7"/>
        <v>2.835443176711713</v>
      </c>
      <c r="E215" s="4">
        <f t="shared" si="8"/>
        <v>97167.802222733691</v>
      </c>
    </row>
    <row r="216" spans="1:5" x14ac:dyDescent="0.2">
      <c r="A216" s="5">
        <v>41334</v>
      </c>
      <c r="B216" s="6">
        <v>520081</v>
      </c>
      <c r="C216" s="6">
        <v>387295</v>
      </c>
      <c r="D216" s="7">
        <f t="shared" si="7"/>
        <v>2.8501024781069497</v>
      </c>
      <c r="E216" s="4">
        <f t="shared" si="8"/>
        <v>97670.161822247057</v>
      </c>
    </row>
    <row r="217" spans="1:5" x14ac:dyDescent="0.2">
      <c r="A217" s="5">
        <v>41426</v>
      </c>
      <c r="B217" s="6">
        <v>522048</v>
      </c>
      <c r="C217" s="6">
        <v>391610</v>
      </c>
      <c r="D217" s="7">
        <f t="shared" si="7"/>
        <v>2.8608818597310361</v>
      </c>
      <c r="E217" s="4">
        <f t="shared" si="8"/>
        <v>98039.560451122874</v>
      </c>
    </row>
    <row r="218" spans="1:5" x14ac:dyDescent="0.2">
      <c r="A218" s="5">
        <v>41518</v>
      </c>
      <c r="B218" s="6">
        <v>526346</v>
      </c>
      <c r="C218" s="6">
        <v>395715</v>
      </c>
      <c r="D218" s="7">
        <f t="shared" si="7"/>
        <v>2.8844353839914949</v>
      </c>
      <c r="E218" s="4">
        <f t="shared" si="8"/>
        <v>98846.716174004541</v>
      </c>
    </row>
    <row r="219" spans="1:5" x14ac:dyDescent="0.2">
      <c r="A219" s="5">
        <v>41609</v>
      </c>
      <c r="B219" s="6">
        <v>530450</v>
      </c>
      <c r="C219" s="6">
        <v>401762</v>
      </c>
      <c r="D219" s="7">
        <f t="shared" si="7"/>
        <v>2.9069257663937571</v>
      </c>
      <c r="E219" s="4">
        <f t="shared" si="8"/>
        <v>99617.439088547661</v>
      </c>
    </row>
    <row r="220" spans="1:5" x14ac:dyDescent="0.2">
      <c r="A220" s="5">
        <v>41699</v>
      </c>
      <c r="B220" s="6">
        <v>534586</v>
      </c>
      <c r="C220" s="6">
        <v>405004</v>
      </c>
      <c r="D220" s="7">
        <f t="shared" si="7"/>
        <v>2.9295915124014948</v>
      </c>
      <c r="E220" s="4">
        <f t="shared" si="8"/>
        <v>100394.17153848683</v>
      </c>
    </row>
    <row r="221" spans="1:5" x14ac:dyDescent="0.2">
      <c r="A221" s="5">
        <v>41791</v>
      </c>
      <c r="B221" s="6">
        <v>537250</v>
      </c>
      <c r="C221" s="6">
        <v>404524</v>
      </c>
      <c r="D221" s="7">
        <f t="shared" si="7"/>
        <v>2.9441905325573492</v>
      </c>
      <c r="E221" s="4">
        <f t="shared" si="8"/>
        <v>100894.4653602078</v>
      </c>
    </row>
    <row r="222" spans="1:5" x14ac:dyDescent="0.2">
      <c r="A222" s="5">
        <v>41883</v>
      </c>
      <c r="B222" s="6">
        <v>539402</v>
      </c>
      <c r="C222" s="6">
        <v>404381</v>
      </c>
      <c r="D222" s="7">
        <f t="shared" si="7"/>
        <v>2.9559837350255922</v>
      </c>
      <c r="E222" s="4">
        <f t="shared" si="8"/>
        <v>101298.60661559201</v>
      </c>
    </row>
    <row r="223" spans="1:5" x14ac:dyDescent="0.2">
      <c r="A223" s="5">
        <v>41974</v>
      </c>
      <c r="B223" s="6">
        <v>541385</v>
      </c>
      <c r="C223" s="6">
        <v>406897</v>
      </c>
      <c r="D223" s="7">
        <f t="shared" si="7"/>
        <v>2.9668507984524162</v>
      </c>
      <c r="E223" s="4">
        <f t="shared" si="8"/>
        <v>101671.01001216585</v>
      </c>
    </row>
    <row r="224" spans="1:5" x14ac:dyDescent="0.2">
      <c r="A224" s="5">
        <v>42064</v>
      </c>
      <c r="B224" s="6">
        <v>546635</v>
      </c>
      <c r="C224" s="6">
        <v>409875</v>
      </c>
      <c r="D224" s="7">
        <f t="shared" si="7"/>
        <v>2.9956213899757778</v>
      </c>
      <c r="E224" s="4">
        <f t="shared" si="8"/>
        <v>102656.94941307993</v>
      </c>
    </row>
    <row r="225" spans="1:5" x14ac:dyDescent="0.2">
      <c r="A225" s="5">
        <v>42156</v>
      </c>
      <c r="B225" s="6">
        <v>547281</v>
      </c>
      <c r="C225" s="6">
        <v>408977</v>
      </c>
      <c r="D225" s="7">
        <f t="shared" si="7"/>
        <v>2.999161542761319</v>
      </c>
      <c r="E225" s="4">
        <f t="shared" si="8"/>
        <v>102778.26690888764</v>
      </c>
    </row>
    <row r="226" spans="1:5" x14ac:dyDescent="0.2">
      <c r="A226" s="5">
        <v>42248</v>
      </c>
      <c r="B226" s="6">
        <v>552613</v>
      </c>
      <c r="C226" s="6">
        <v>413525</v>
      </c>
      <c r="D226" s="7">
        <f t="shared" si="7"/>
        <v>3.0283815035237125</v>
      </c>
      <c r="E226" s="4">
        <f t="shared" si="8"/>
        <v>103779.60574425411</v>
      </c>
    </row>
    <row r="227" spans="1:5" x14ac:dyDescent="0.2">
      <c r="A227" s="5">
        <v>42339</v>
      </c>
      <c r="B227" s="6">
        <v>556043</v>
      </c>
      <c r="C227" s="6">
        <v>413706</v>
      </c>
      <c r="D227" s="7">
        <f t="shared" si="7"/>
        <v>3.0471782899856419</v>
      </c>
      <c r="E227" s="4">
        <f t="shared" si="8"/>
        <v>104423.75281951796</v>
      </c>
    </row>
    <row r="228" spans="1:5" x14ac:dyDescent="0.2">
      <c r="A228" s="5">
        <v>42430</v>
      </c>
      <c r="B228" s="6">
        <v>561139</v>
      </c>
      <c r="C228" s="6">
        <v>416081</v>
      </c>
      <c r="D228" s="7">
        <f t="shared" si="7"/>
        <v>3.0751049441576517</v>
      </c>
      <c r="E228" s="4">
        <f t="shared" si="8"/>
        <v>105380.77133133856</v>
      </c>
    </row>
    <row r="229" spans="1:5" x14ac:dyDescent="0.2">
      <c r="A229" s="5">
        <v>42522</v>
      </c>
      <c r="B229" s="6">
        <v>564835</v>
      </c>
      <c r="C229" s="6">
        <v>420973</v>
      </c>
      <c r="D229" s="7">
        <f t="shared" si="7"/>
        <v>3.0953594405900984</v>
      </c>
      <c r="E229" s="4">
        <f t="shared" si="8"/>
        <v>106074.87266958208</v>
      </c>
    </row>
    <row r="230" spans="1:5" x14ac:dyDescent="0.2">
      <c r="A230" s="5">
        <v>42614</v>
      </c>
      <c r="B230" s="6">
        <v>564782</v>
      </c>
      <c r="C230" s="6">
        <v>426421</v>
      </c>
      <c r="D230" s="7">
        <f t="shared" si="7"/>
        <v>3.0950689946185292</v>
      </c>
      <c r="E230" s="4">
        <f t="shared" si="8"/>
        <v>106064.91937658237</v>
      </c>
    </row>
    <row r="231" spans="1:5" x14ac:dyDescent="0.2">
      <c r="A231" s="5">
        <v>42705</v>
      </c>
      <c r="B231" s="6">
        <v>571367</v>
      </c>
      <c r="C231" s="6">
        <v>440621</v>
      </c>
      <c r="D231" s="7">
        <f t="shared" si="7"/>
        <v>3.1311555365578316</v>
      </c>
      <c r="E231" s="4">
        <f t="shared" si="8"/>
        <v>107301.56908230034</v>
      </c>
    </row>
    <row r="232" spans="1:5" x14ac:dyDescent="0.2">
      <c r="A232" s="5">
        <v>42795</v>
      </c>
      <c r="B232" s="6">
        <v>573149</v>
      </c>
      <c r="C232" s="6">
        <v>448531</v>
      </c>
      <c r="D232" s="7">
        <f t="shared" si="7"/>
        <v>3.1409210973377615</v>
      </c>
      <c r="E232" s="4">
        <f t="shared" si="8"/>
        <v>107636.22508466775</v>
      </c>
    </row>
    <row r="233" spans="1:5" x14ac:dyDescent="0.2">
      <c r="A233" s="5">
        <v>42887</v>
      </c>
      <c r="B233" s="6">
        <v>576579</v>
      </c>
      <c r="C233" s="6">
        <v>448464</v>
      </c>
      <c r="D233" s="7">
        <f t="shared" si="7"/>
        <v>3.1597178837996909</v>
      </c>
      <c r="E233" s="4">
        <f t="shared" si="8"/>
        <v>108280.3721599316</v>
      </c>
    </row>
    <row r="234" spans="1:5" x14ac:dyDescent="0.2">
      <c r="A234" s="5">
        <v>42979</v>
      </c>
      <c r="B234" s="6">
        <v>582043</v>
      </c>
      <c r="C234" s="6">
        <v>454276</v>
      </c>
      <c r="D234" s="7">
        <f t="shared" si="7"/>
        <v>3.1896612194346714</v>
      </c>
      <c r="E234" s="4">
        <f t="shared" si="8"/>
        <v>109306.50032880675</v>
      </c>
    </row>
    <row r="235" spans="1:5" x14ac:dyDescent="0.2">
      <c r="A235" s="5">
        <v>43070</v>
      </c>
      <c r="B235" s="6">
        <v>584367</v>
      </c>
      <c r="C235" s="6">
        <v>456786</v>
      </c>
      <c r="D235" s="7">
        <f t="shared" si="7"/>
        <v>3.2023970012823462</v>
      </c>
      <c r="E235" s="4">
        <f t="shared" si="8"/>
        <v>109742.94283694473</v>
      </c>
    </row>
    <row r="236" spans="1:5" x14ac:dyDescent="0.2">
      <c r="A236" s="5">
        <v>43160</v>
      </c>
      <c r="B236" s="6">
        <v>590393</v>
      </c>
      <c r="C236" s="6">
        <v>465769</v>
      </c>
      <c r="D236" s="7">
        <f t="shared" si="7"/>
        <v>3.2354201602384944</v>
      </c>
      <c r="E236" s="4">
        <f t="shared" si="8"/>
        <v>110874.61347121297</v>
      </c>
    </row>
    <row r="237" spans="1:5" x14ac:dyDescent="0.2">
      <c r="A237" s="5">
        <v>43252</v>
      </c>
      <c r="B237" s="6">
        <v>594775</v>
      </c>
      <c r="C237" s="6">
        <v>472054</v>
      </c>
      <c r="D237" s="7">
        <f t="shared" si="7"/>
        <v>3.2594340139633271</v>
      </c>
      <c r="E237" s="4">
        <f t="shared" si="8"/>
        <v>111697.54422450926</v>
      </c>
    </row>
    <row r="238" spans="1:5" x14ac:dyDescent="0.2">
      <c r="A238" s="5">
        <v>43344</v>
      </c>
      <c r="B238" s="6">
        <v>597020</v>
      </c>
      <c r="C238" s="6">
        <v>479421</v>
      </c>
      <c r="D238" s="7">
        <f t="shared" si="7"/>
        <v>3.2717368669099836</v>
      </c>
      <c r="E238" s="4">
        <f t="shared" si="8"/>
        <v>112119.15069213822</v>
      </c>
    </row>
    <row r="239" spans="1:5" x14ac:dyDescent="0.2">
      <c r="A239" s="5">
        <v>43435</v>
      </c>
      <c r="B239" s="6">
        <v>598542</v>
      </c>
      <c r="C239" s="6">
        <v>484269</v>
      </c>
      <c r="D239" s="7">
        <f t="shared" si="7"/>
        <v>3.2800775983954229</v>
      </c>
      <c r="E239" s="4">
        <f t="shared" si="8"/>
        <v>112404.97921941275</v>
      </c>
    </row>
    <row r="240" spans="1:5" x14ac:dyDescent="0.2">
      <c r="A240" s="5">
        <v>43525</v>
      </c>
      <c r="B240" s="6">
        <v>602883</v>
      </c>
      <c r="C240" s="6">
        <v>491654</v>
      </c>
      <c r="D240" s="7">
        <f t="shared" si="7"/>
        <v>3.3038667675007396</v>
      </c>
      <c r="E240" s="4">
        <f t="shared" si="8"/>
        <v>113220.21025548285</v>
      </c>
    </row>
    <row r="241" spans="1:5" x14ac:dyDescent="0.2">
      <c r="A241" s="5">
        <v>43617</v>
      </c>
      <c r="B241" s="6">
        <v>604726</v>
      </c>
      <c r="C241" s="6">
        <v>499205</v>
      </c>
      <c r="D241" s="7">
        <f t="shared" si="7"/>
        <v>3.3139666151536074</v>
      </c>
      <c r="E241" s="4">
        <f t="shared" si="8"/>
        <v>113566.32193469896</v>
      </c>
    </row>
    <row r="242" spans="1:5" x14ac:dyDescent="0.2">
      <c r="A242" s="5">
        <v>43709</v>
      </c>
      <c r="B242" s="6">
        <v>608257</v>
      </c>
      <c r="C242" s="6">
        <v>505886</v>
      </c>
      <c r="D242" s="7">
        <f t="shared" si="7"/>
        <v>3.3333168929953199</v>
      </c>
      <c r="E242" s="4">
        <f t="shared" si="8"/>
        <v>114229.43660605661</v>
      </c>
    </row>
    <row r="243" spans="1:5" x14ac:dyDescent="0.2">
      <c r="A243" s="5">
        <v>43800</v>
      </c>
      <c r="B243" s="6">
        <v>611850</v>
      </c>
      <c r="C243" s="6">
        <v>504896</v>
      </c>
      <c r="D243" s="7">
        <f t="shared" si="7"/>
        <v>3.3530069378226415</v>
      </c>
      <c r="E243" s="4">
        <f t="shared" si="8"/>
        <v>114904.1947522441</v>
      </c>
    </row>
    <row r="244" spans="1:5" x14ac:dyDescent="0.2">
      <c r="A244" s="5">
        <v>43891</v>
      </c>
      <c r="B244" s="6">
        <v>610510</v>
      </c>
      <c r="C244" s="6">
        <v>506568</v>
      </c>
      <c r="D244" s="7">
        <f t="shared" si="7"/>
        <v>3.3456635868433455</v>
      </c>
      <c r="E244" s="4">
        <f t="shared" si="8"/>
        <v>114652.54545753461</v>
      </c>
    </row>
    <row r="245" spans="1:5" x14ac:dyDescent="0.2">
      <c r="A245" s="5">
        <v>43983</v>
      </c>
      <c r="B245" s="6">
        <v>569344</v>
      </c>
      <c r="C245" s="6">
        <v>470138</v>
      </c>
      <c r="D245" s="7">
        <f t="shared" si="7"/>
        <v>3.1200692686241629</v>
      </c>
      <c r="E245" s="4">
        <f t="shared" si="8"/>
        <v>106921.65376648144</v>
      </c>
    </row>
    <row r="246" spans="1:5" x14ac:dyDescent="0.2">
      <c r="A246" s="5">
        <v>44075</v>
      </c>
      <c r="B246" s="6">
        <v>589128</v>
      </c>
      <c r="C246" s="6">
        <v>490232</v>
      </c>
      <c r="D246" s="7">
        <f t="shared" si="7"/>
        <v>3.228487817709532</v>
      </c>
      <c r="E246" s="4">
        <f t="shared" si="8"/>
        <v>110637.04902508795</v>
      </c>
    </row>
    <row r="247" spans="1:5" x14ac:dyDescent="0.2">
      <c r="A247" s="5">
        <v>44166</v>
      </c>
      <c r="B247" s="6">
        <v>609184</v>
      </c>
      <c r="C247" s="6">
        <v>512567</v>
      </c>
      <c r="D247" s="7">
        <f t="shared" si="7"/>
        <v>3.3383969574414452</v>
      </c>
      <c r="E247" s="4">
        <f t="shared" si="8"/>
        <v>114403.52533456088</v>
      </c>
    </row>
    <row r="248" spans="1:5" x14ac:dyDescent="0.2">
      <c r="A248" s="5">
        <v>44256</v>
      </c>
      <c r="B248" s="6">
        <v>622355</v>
      </c>
      <c r="C248" s="6">
        <v>533982</v>
      </c>
      <c r="D248" s="7">
        <f t="shared" si="7"/>
        <v>3.4105755214327207</v>
      </c>
      <c r="E248" s="4">
        <f t="shared" si="8"/>
        <v>116877.01254397791</v>
      </c>
    </row>
    <row r="249" spans="1:5" x14ac:dyDescent="0.2">
      <c r="A249" s="5">
        <v>44348</v>
      </c>
      <c r="B249" s="6">
        <v>627461</v>
      </c>
      <c r="C249" s="6">
        <v>553501</v>
      </c>
      <c r="D249" s="7">
        <f t="shared" si="7"/>
        <v>3.4385569767314417</v>
      </c>
      <c r="E249" s="4">
        <f t="shared" si="8"/>
        <v>117835.90903560977</v>
      </c>
    </row>
    <row r="250" spans="1:5" x14ac:dyDescent="0.2">
      <c r="A250" s="5">
        <v>44440</v>
      </c>
      <c r="B250" s="6">
        <v>616714</v>
      </c>
      <c r="C250" s="6">
        <v>551378</v>
      </c>
      <c r="D250" s="7">
        <f t="shared" si="7"/>
        <v>3.3796622058549524</v>
      </c>
      <c r="E250" s="4">
        <f t="shared" si="8"/>
        <v>115817.64413244337</v>
      </c>
    </row>
    <row r="251" spans="1:5" x14ac:dyDescent="0.2">
      <c r="A251" s="5">
        <v>44531</v>
      </c>
      <c r="B251" s="6">
        <v>639091</v>
      </c>
      <c r="C251" s="6">
        <v>569472</v>
      </c>
      <c r="D251" s="7">
        <f t="shared" si="7"/>
        <v>3.5022906870965267</v>
      </c>
      <c r="E251" s="4">
        <f t="shared" si="8"/>
        <v>120019.99955611087</v>
      </c>
    </row>
    <row r="252" spans="1:5" x14ac:dyDescent="0.2">
      <c r="A252" s="5">
        <v>44621</v>
      </c>
      <c r="B252" s="6">
        <v>645027</v>
      </c>
      <c r="C252" s="6">
        <v>595061</v>
      </c>
      <c r="D252" s="7">
        <f t="shared" si="7"/>
        <v>3.5348206359122742</v>
      </c>
      <c r="E252" s="4">
        <f t="shared" si="8"/>
        <v>121134.76837207773</v>
      </c>
    </row>
    <row r="253" spans="1:5" x14ac:dyDescent="0.2">
      <c r="A253" s="5">
        <v>44713</v>
      </c>
      <c r="B253" s="6">
        <v>651417</v>
      </c>
      <c r="C253" s="6">
        <v>623700</v>
      </c>
      <c r="D253" s="7">
        <f t="shared" si="7"/>
        <v>3.5698385558807089</v>
      </c>
      <c r="E253" s="4">
        <f t="shared" si="8"/>
        <v>122334.79747147601</v>
      </c>
    </row>
    <row r="254" spans="1:5" x14ac:dyDescent="0.2">
      <c r="A254" s="5">
        <v>44805</v>
      </c>
      <c r="B254" s="6">
        <v>654547</v>
      </c>
      <c r="C254" s="6">
        <v>632064</v>
      </c>
      <c r="D254" s="7">
        <f t="shared" si="7"/>
        <v>3.5869913085413034</v>
      </c>
      <c r="E254" s="4">
        <f t="shared" si="8"/>
        <v>122922.60515240193</v>
      </c>
    </row>
    <row r="255" spans="1:5" x14ac:dyDescent="0.2">
      <c r="A255" s="5">
        <v>44896</v>
      </c>
      <c r="B255" s="6">
        <v>659948</v>
      </c>
      <c r="C255" s="6">
        <v>640361</v>
      </c>
      <c r="D255" s="7">
        <f t="shared" si="7"/>
        <v>3.6165893970780041</v>
      </c>
      <c r="E255" s="4">
        <f t="shared" si="8"/>
        <v>123936.90204846612</v>
      </c>
    </row>
    <row r="256" spans="1:5" x14ac:dyDescent="0.2">
      <c r="A256" s="5">
        <v>44986</v>
      </c>
      <c r="B256" s="6">
        <v>663102</v>
      </c>
      <c r="C256" s="6">
        <v>652785</v>
      </c>
      <c r="D256" s="7">
        <f t="shared" si="7"/>
        <v>3.6338736724427054</v>
      </c>
      <c r="E256" s="4">
        <f t="shared" si="8"/>
        <v>124529.21688093907</v>
      </c>
    </row>
    <row r="257" spans="1:5" x14ac:dyDescent="0.2">
      <c r="A257" s="5">
        <v>45078</v>
      </c>
      <c r="B257" s="6">
        <v>666120</v>
      </c>
      <c r="C257" s="6">
        <v>650898</v>
      </c>
      <c r="D257" s="7">
        <f t="shared" si="7"/>
        <v>3.6504126524841349</v>
      </c>
      <c r="E257" s="4">
        <f t="shared" si="8"/>
        <v>125095.99118797883</v>
      </c>
    </row>
    <row r="258" spans="1:5" x14ac:dyDescent="0.2">
      <c r="A258" s="5">
        <v>45170</v>
      </c>
      <c r="B258" s="6">
        <v>668806</v>
      </c>
      <c r="C258" s="6">
        <v>658811</v>
      </c>
      <c r="D258" s="7">
        <f t="shared" si="7"/>
        <v>3.6651322351187541</v>
      </c>
      <c r="E258" s="4">
        <f t="shared" si="8"/>
        <v>125600.41656528458</v>
      </c>
    </row>
    <row r="259" spans="1:5" x14ac:dyDescent="0.2">
      <c r="A259" s="5">
        <v>45261</v>
      </c>
      <c r="B259" s="6">
        <v>668754</v>
      </c>
      <c r="C259" s="6">
        <v>667256</v>
      </c>
      <c r="D259" s="7">
        <f t="shared" ref="D259:D268" si="9">B259/$B$84</f>
        <v>3.6648472692598562</v>
      </c>
      <c r="E259" s="4">
        <f t="shared" ref="E259:E268" si="10">D259*$C$84</f>
        <v>125590.65107026602</v>
      </c>
    </row>
    <row r="260" spans="1:5" x14ac:dyDescent="0.2">
      <c r="A260" s="5">
        <v>45352</v>
      </c>
      <c r="B260" s="6">
        <v>670388</v>
      </c>
      <c r="C260" s="6">
        <v>676050</v>
      </c>
      <c r="D260" s="7">
        <f t="shared" si="9"/>
        <v>3.6738017733644606</v>
      </c>
      <c r="E260" s="4">
        <f t="shared" si="10"/>
        <v>125897.5129714267</v>
      </c>
    </row>
    <row r="261" spans="1:5" x14ac:dyDescent="0.2">
      <c r="A261" s="5">
        <v>45444</v>
      </c>
      <c r="B261" s="6">
        <v>672076</v>
      </c>
      <c r="C261" s="6">
        <v>678357</v>
      </c>
      <c r="D261" s="7">
        <f t="shared" si="9"/>
        <v>3.6830522035533049</v>
      </c>
      <c r="E261" s="4">
        <f t="shared" si="10"/>
        <v>126214.51596356821</v>
      </c>
    </row>
    <row r="262" spans="1:5" x14ac:dyDescent="0.2">
      <c r="A262" s="5">
        <v>45536</v>
      </c>
      <c r="B262" s="6">
        <v>674130</v>
      </c>
      <c r="C262" s="6">
        <v>681417</v>
      </c>
      <c r="D262" s="7">
        <f t="shared" si="9"/>
        <v>3.6943083549797784</v>
      </c>
      <c r="E262" s="4">
        <f t="shared" si="10"/>
        <v>126600.25301680203</v>
      </c>
    </row>
    <row r="263" spans="1:5" x14ac:dyDescent="0.2">
      <c r="A263" s="5">
        <v>45627</v>
      </c>
      <c r="B263" s="6">
        <v>677077</v>
      </c>
      <c r="C263" s="6">
        <v>690352</v>
      </c>
      <c r="D263" s="7">
        <f t="shared" si="9"/>
        <v>3.7104582470215588</v>
      </c>
      <c r="E263" s="4">
        <f t="shared" si="10"/>
        <v>127153.6936671818</v>
      </c>
    </row>
    <row r="264" spans="1:5" x14ac:dyDescent="0.2">
      <c r="A264" s="5">
        <v>45717</v>
      </c>
      <c r="B264" s="6">
        <v>678840</v>
      </c>
      <c r="C264" s="6">
        <v>699362</v>
      </c>
      <c r="D264" s="7">
        <f t="shared" si="9"/>
        <v>3.720119685660737</v>
      </c>
      <c r="E264" s="4">
        <f t="shared" si="10"/>
        <v>127484.7815079078</v>
      </c>
    </row>
    <row r="265" spans="1:5" x14ac:dyDescent="0.2">
      <c r="A265" s="5">
        <v>45809</v>
      </c>
      <c r="B265" s="6">
        <v>685416</v>
      </c>
      <c r="C265" s="6">
        <v>705111</v>
      </c>
      <c r="D265" s="7">
        <f t="shared" si="9"/>
        <v>3.7561569065859994</v>
      </c>
      <c r="E265" s="4">
        <f t="shared" si="10"/>
        <v>128719.74103179561</v>
      </c>
    </row>
    <row r="266" spans="1:5" x14ac:dyDescent="0.2">
      <c r="A266" s="5">
        <v>45901</v>
      </c>
      <c r="B266" s="6">
        <v>688034</v>
      </c>
      <c r="C266" s="6">
        <v>717850</v>
      </c>
      <c r="D266" s="7">
        <f t="shared" si="9"/>
        <v>3.7705038415589827</v>
      </c>
      <c r="E266" s="4">
        <f t="shared" si="10"/>
        <v>129211.39614638478</v>
      </c>
    </row>
    <row r="267" spans="1:5" x14ac:dyDescent="0.2">
      <c r="A267" s="5">
        <v>45992</v>
      </c>
      <c r="B267" s="6">
        <v>694041</v>
      </c>
      <c r="C267" s="6">
        <v>732408</v>
      </c>
      <c r="D267" s="7">
        <f t="shared" si="9"/>
        <v>3.8034228783743793</v>
      </c>
      <c r="E267" s="4">
        <f t="shared" si="10"/>
        <v>130339.4986190116</v>
      </c>
    </row>
    <row r="268" spans="1:5" x14ac:dyDescent="0.2">
      <c r="A268" s="5">
        <v>46082</v>
      </c>
      <c r="B268" s="6">
        <v>695945</v>
      </c>
      <c r="C268" s="6">
        <v>736601</v>
      </c>
      <c r="D268" s="7">
        <f t="shared" si="9"/>
        <v>3.8138570129001854</v>
      </c>
      <c r="E268" s="4">
        <f t="shared" si="10"/>
        <v>130697.06597507646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Tute1 Q1</vt:lpstr>
      <vt:lpstr>Q2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Fan</dc:creator>
  <cp:lastModifiedBy>Zheng Fan</cp:lastModifiedBy>
  <dcterms:created xsi:type="dcterms:W3CDTF">2026-08-05T09:58:30Z</dcterms:created>
  <dcterms:modified xsi:type="dcterms:W3CDTF">2026-08-07T04:10:33Z</dcterms:modified>
</cp:coreProperties>
</file>